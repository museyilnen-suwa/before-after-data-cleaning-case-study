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 (Before)" sheetId="1" state="visible" r:id="rId3"/>
    <sheet name="Lookup_Tables" sheetId="2" state="visible" r:id="rId4"/>
    <sheet name="Clean_Data (After)" sheetId="3" state="visible" r:id="rId5"/>
    <sheet name="Before_After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<sst xmlns="http://schemas.openxmlformats.org/spreadsheetml/2006/main" count="3064" uniqueCount="1621">
  <si>
    <t xml:space="preserve">Employee Records — Raw Data (Before Cleaning)</t>
  </si>
  <si>
    <t xml:space="preserve">420 employee records as originally entered, containing realistic data-entry errors</t>
  </si>
  <si>
    <t xml:space="preserve">EmployeeID</t>
  </si>
  <si>
    <t xml:space="preserve">FullName</t>
  </si>
  <si>
    <t xml:space="preserve">Department</t>
  </si>
  <si>
    <t xml:space="preserve">Gender</t>
  </si>
  <si>
    <t xml:space="preserve">Age</t>
  </si>
  <si>
    <t xml:space="preserve">MonthlySalary</t>
  </si>
  <si>
    <t xml:space="preserve">HireDate</t>
  </si>
  <si>
    <t xml:space="preserve">Email</t>
  </si>
  <si>
    <t xml:space="preserve">Status</t>
  </si>
  <si>
    <t xml:space="preserve">EMP0038</t>
  </si>
  <si>
    <t xml:space="preserve">  Yusuf Ogundipe  </t>
  </si>
  <si>
    <t xml:space="preserve">Fin.</t>
  </si>
  <si>
    <t xml:space="preserve">female</t>
  </si>
  <si>
    <t xml:space="preserve">2018-02-21</t>
  </si>
  <si>
    <t xml:space="preserve">yusuf.ogundipe@company.com</t>
  </si>
  <si>
    <t xml:space="preserve">active</t>
  </si>
  <si>
    <t xml:space="preserve">EMP0375</t>
  </si>
  <si>
    <t xml:space="preserve">Esther Abubakar</t>
  </si>
  <si>
    <t xml:space="preserve">Marketing</t>
  </si>
  <si>
    <t xml:space="preserve">m</t>
  </si>
  <si>
    <t xml:space="preserve">29-Mar-2019</t>
  </si>
  <si>
    <t xml:space="preserve">esther.abubakar@company.com</t>
  </si>
  <si>
    <t xml:space="preserve">Act.</t>
  </si>
  <si>
    <t xml:space="preserve">EMP0110</t>
  </si>
  <si>
    <t xml:space="preserve">CHINEDU ADAMU</t>
  </si>
  <si>
    <t xml:space="preserve">CS</t>
  </si>
  <si>
    <t xml:space="preserve">MALE</t>
  </si>
  <si>
    <t xml:space="preserve">02-Dec-2022</t>
  </si>
  <si>
    <t xml:space="preserve">chinedu.adamu@company.com</t>
  </si>
  <si>
    <t xml:space="preserve">Active</t>
  </si>
  <si>
    <t xml:space="preserve">EMP0046</t>
  </si>
  <si>
    <t xml:space="preserve">yusuf nwosu</t>
  </si>
  <si>
    <t xml:space="preserve">InfoTech</t>
  </si>
  <si>
    <t xml:space="preserve">17/10/2022</t>
  </si>
  <si>
    <t xml:space="preserve">yusuf.nwosu@company.com</t>
  </si>
  <si>
    <t xml:space="preserve">Terminated</t>
  </si>
  <si>
    <t xml:space="preserve">EMP0092</t>
  </si>
  <si>
    <t xml:space="preserve">ahmed umeh</t>
  </si>
  <si>
    <t xml:space="preserve">OPERATIONS</t>
  </si>
  <si>
    <t xml:space="preserve">F</t>
  </si>
  <si>
    <t xml:space="preserve">18-Jul-2018</t>
  </si>
  <si>
    <t xml:space="preserve">ahmed.umeh@company.com</t>
  </si>
  <si>
    <t xml:space="preserve">ACTIVE</t>
  </si>
  <si>
    <t xml:space="preserve">EMP0324</t>
  </si>
  <si>
    <t xml:space="preserve">Daniel Ajayi</t>
  </si>
  <si>
    <t xml:space="preserve">IT</t>
  </si>
  <si>
    <t xml:space="preserve">f</t>
  </si>
  <si>
    <t xml:space="preserve">29-Feb-2020</t>
  </si>
  <si>
    <t xml:space="preserve">daniel.ajayi@company.com</t>
  </si>
  <si>
    <t xml:space="preserve">EMP0098</t>
  </si>
  <si>
    <t xml:space="preserve">Hauwa Nwosu</t>
  </si>
  <si>
    <t xml:space="preserve">Ops</t>
  </si>
  <si>
    <t xml:space="preserve">Male</t>
  </si>
  <si>
    <t xml:space="preserve">05-Oct-2024</t>
  </si>
  <si>
    <t xml:space="preserve">hauwa.nwosu@company.com</t>
  </si>
  <si>
    <t xml:space="preserve">INACTIVE</t>
  </si>
  <si>
    <t xml:space="preserve">EMP0326</t>
  </si>
  <si>
    <t xml:space="preserve">samuel bello</t>
  </si>
  <si>
    <t xml:space="preserve">Finance</t>
  </si>
  <si>
    <t xml:space="preserve">2022-06-13</t>
  </si>
  <si>
    <t xml:space="preserve">samuel.bello@company.com</t>
  </si>
  <si>
    <t xml:space="preserve">EMP0358</t>
  </si>
  <si>
    <t xml:space="preserve">Peter Chukwu</t>
  </si>
  <si>
    <t xml:space="preserve">06-Dec-2022</t>
  </si>
  <si>
    <t xml:space="preserve">peter.chukwu@company.com</t>
  </si>
  <si>
    <t xml:space="preserve">EMP0266</t>
  </si>
  <si>
    <t xml:space="preserve">  Bisi Uche  </t>
  </si>
  <si>
    <t xml:space="preserve">Female</t>
  </si>
  <si>
    <t xml:space="preserve">19-Mar-2020</t>
  </si>
  <si>
    <t xml:space="preserve">bisi.uche@company.com</t>
  </si>
  <si>
    <t xml:space="preserve">EMP0156</t>
  </si>
  <si>
    <t xml:space="preserve">  Aisha Lawal  </t>
  </si>
  <si>
    <t xml:space="preserve"> Sales</t>
  </si>
  <si>
    <t xml:space="preserve">2022-09-08</t>
  </si>
  <si>
    <t xml:space="preserve">aisha.lawal@company.com</t>
  </si>
  <si>
    <t xml:space="preserve">EMP0217</t>
  </si>
  <si>
    <t xml:space="preserve">ola ogundipe</t>
  </si>
  <si>
    <t xml:space="preserve">16/01/2022</t>
  </si>
  <si>
    <t xml:space="preserve">ola.ogundipe@company.com</t>
  </si>
  <si>
    <t xml:space="preserve">EMP0018</t>
  </si>
  <si>
    <t xml:space="preserve">peter adamu</t>
  </si>
  <si>
    <t xml:space="preserve">it</t>
  </si>
  <si>
    <t xml:space="preserve">M</t>
  </si>
  <si>
    <t xml:space="preserve">27-Nov-2023</t>
  </si>
  <si>
    <t xml:space="preserve">peter.adamu@company.com</t>
  </si>
  <si>
    <t xml:space="preserve">EMP0299</t>
  </si>
  <si>
    <t xml:space="preserve">david lawal</t>
  </si>
  <si>
    <t xml:space="preserve">customer service</t>
  </si>
  <si>
    <t xml:space="preserve">18/02/2020</t>
  </si>
  <si>
    <t xml:space="preserve">david.lawal@company.com</t>
  </si>
  <si>
    <t xml:space="preserve">EMP0281</t>
  </si>
  <si>
    <t xml:space="preserve">AMAKA NNAMDI</t>
  </si>
  <si>
    <t xml:space="preserve">I.T.</t>
  </si>
  <si>
    <t xml:space="preserve">01-Mar-2020</t>
  </si>
  <si>
    <t xml:space="preserve">amaka.nnamdi@company.com</t>
  </si>
  <si>
    <t xml:space="preserve">EMP0086</t>
  </si>
  <si>
    <t xml:space="preserve">daniel okafor</t>
  </si>
  <si>
    <t xml:space="preserve">Marketting</t>
  </si>
  <si>
    <t xml:space="preserve">09-Aug-2020</t>
  </si>
  <si>
    <t xml:space="preserve">daniel.okafor@company.com</t>
  </si>
  <si>
    <t xml:space="preserve">EMP0192</t>
  </si>
  <si>
    <t xml:space="preserve">Aisha Chukwu</t>
  </si>
  <si>
    <t xml:space="preserve">FEMALE</t>
  </si>
  <si>
    <t xml:space="preserve">10/01/2020</t>
  </si>
  <si>
    <t xml:space="preserve">aisha.chukwu@company.com</t>
  </si>
  <si>
    <t xml:space="preserve">EMP0223</t>
  </si>
  <si>
    <t xml:space="preserve">hr</t>
  </si>
  <si>
    <t xml:space="preserve">07-Nov-2024</t>
  </si>
  <si>
    <t xml:space="preserve">EMP0337</t>
  </si>
  <si>
    <t xml:space="preserve">MARY OBI</t>
  </si>
  <si>
    <t xml:space="preserve">2024-02-22</t>
  </si>
  <si>
    <t xml:space="preserve">mary.obi@company.com</t>
  </si>
  <si>
    <t xml:space="preserve">EMP0343</t>
  </si>
  <si>
    <t xml:space="preserve">ESTHER ADAMU</t>
  </si>
  <si>
    <t xml:space="preserve">08-Apr-2019</t>
  </si>
  <si>
    <t xml:space="preserve">esther.adamu@company.com</t>
  </si>
  <si>
    <t xml:space="preserve">Left</t>
  </si>
  <si>
    <t xml:space="preserve">EMP0277</t>
  </si>
  <si>
    <t xml:space="preserve">YUSUF YAKUBU</t>
  </si>
  <si>
    <t xml:space="preserve">06/02/2023</t>
  </si>
  <si>
    <t xml:space="preserve">yusuf.yakubu@company.com</t>
  </si>
  <si>
    <t xml:space="preserve">EMP0310</t>
  </si>
  <si>
    <t xml:space="preserve">MUSA YAKUBU</t>
  </si>
  <si>
    <t xml:space="preserve">2018-05-11</t>
  </si>
  <si>
    <t xml:space="preserve">musa.yakubu@company.com</t>
  </si>
  <si>
    <t xml:space="preserve">EMP0250</t>
  </si>
  <si>
    <t xml:space="preserve">Blessing Ajayi</t>
  </si>
  <si>
    <t xml:space="preserve">sales</t>
  </si>
  <si>
    <t xml:space="preserve">male</t>
  </si>
  <si>
    <t xml:space="preserve">30-May-2022</t>
  </si>
  <si>
    <t xml:space="preserve">blessing.ajayi@company.com</t>
  </si>
  <si>
    <t xml:space="preserve">EMP0228</t>
  </si>
  <si>
    <t xml:space="preserve">Chinedu Sani</t>
  </si>
  <si>
    <t xml:space="preserve">H.R.</t>
  </si>
  <si>
    <t xml:space="preserve">16-Dec-2019</t>
  </si>
  <si>
    <t xml:space="preserve">chinedu.sani@company.com</t>
  </si>
  <si>
    <t xml:space="preserve">EMP0246</t>
  </si>
  <si>
    <t xml:space="preserve">  James Obi  </t>
  </si>
  <si>
    <t xml:space="preserve">SALES</t>
  </si>
  <si>
    <t xml:space="preserve">₦115,365</t>
  </si>
  <si>
    <t xml:space="preserve">23-Oct-2019</t>
  </si>
  <si>
    <t xml:space="preserve">james.obi@company.com</t>
  </si>
  <si>
    <t xml:space="preserve">EMP0352</t>
  </si>
  <si>
    <t xml:space="preserve">victor obi</t>
  </si>
  <si>
    <t xml:space="preserve">Operations</t>
  </si>
  <si>
    <t xml:space="preserve">2022-12-11</t>
  </si>
  <si>
    <t xml:space="preserve">victor.obi@company.com</t>
  </si>
  <si>
    <t xml:space="preserve">EMP0109</t>
  </si>
  <si>
    <t xml:space="preserve">Ahmed Sani</t>
  </si>
  <si>
    <t xml:space="preserve">20/11/2021</t>
  </si>
  <si>
    <t xml:space="preserve">ahmed.sani@company.com</t>
  </si>
  <si>
    <t xml:space="preserve">EMP0396</t>
  </si>
  <si>
    <t xml:space="preserve">  David Eze  </t>
  </si>
  <si>
    <t xml:space="preserve">12/05/2019</t>
  </si>
  <si>
    <t xml:space="preserve">david.eze@company.com</t>
  </si>
  <si>
    <t xml:space="preserve">EMP0130</t>
  </si>
  <si>
    <t xml:space="preserve">  Gabriel Uche  </t>
  </si>
  <si>
    <t xml:space="preserve">26-Aug-2024</t>
  </si>
  <si>
    <t xml:space="preserve">gabriel.uche@company.com</t>
  </si>
  <si>
    <t xml:space="preserve">EMP0116</t>
  </si>
  <si>
    <t xml:space="preserve">  Victor Adamu  </t>
  </si>
  <si>
    <t xml:space="preserve">2020-02-17</t>
  </si>
  <si>
    <t xml:space="preserve">victor.adamu@company.com</t>
  </si>
  <si>
    <t xml:space="preserve">EMP0169</t>
  </si>
  <si>
    <t xml:space="preserve">Ruth Okafor</t>
  </si>
  <si>
    <t xml:space="preserve">finance</t>
  </si>
  <si>
    <t xml:space="preserve">11-Jun-2022</t>
  </si>
  <si>
    <t xml:space="preserve">ruth.okafor@company.com</t>
  </si>
  <si>
    <t xml:space="preserve">EMP0067</t>
  </si>
  <si>
    <t xml:space="preserve">John Umeh</t>
  </si>
  <si>
    <t xml:space="preserve">2018-05-09</t>
  </si>
  <si>
    <t xml:space="preserve">john.umeh@company.com</t>
  </si>
  <si>
    <t xml:space="preserve">EMP0229</t>
  </si>
  <si>
    <t xml:space="preserve">james nnamdi</t>
  </si>
  <si>
    <t xml:space="preserve">2024-05-25</t>
  </si>
  <si>
    <t xml:space="preserve">james.nnamdi@company.com</t>
  </si>
  <si>
    <t xml:space="preserve">EMP0377</t>
  </si>
  <si>
    <t xml:space="preserve">PETER LAWAL</t>
  </si>
  <si>
    <t xml:space="preserve">₦866,471</t>
  </si>
  <si>
    <t xml:space="preserve">2024-04-14</t>
  </si>
  <si>
    <t xml:space="preserve">peter.lawal @company.com</t>
  </si>
  <si>
    <t xml:space="preserve">EMP0334</t>
  </si>
  <si>
    <t xml:space="preserve">aisha adeyemi</t>
  </si>
  <si>
    <t xml:space="preserve">Customer Service</t>
  </si>
  <si>
    <t xml:space="preserve">20/10/2024</t>
  </si>
  <si>
    <t xml:space="preserve">aisha.adeyemi@company.com</t>
  </si>
  <si>
    <t xml:space="preserve">EMP0288</t>
  </si>
  <si>
    <t xml:space="preserve">John Okafor</t>
  </si>
  <si>
    <t xml:space="preserve">11-Aug-2018</t>
  </si>
  <si>
    <t xml:space="preserve">john.okaforcompany.com</t>
  </si>
  <si>
    <t xml:space="preserve">EMP0071</t>
  </si>
  <si>
    <t xml:space="preserve">  Ngozi Nnamdi  </t>
  </si>
  <si>
    <t xml:space="preserve">20/05/2021</t>
  </si>
  <si>
    <t xml:space="preserve">ngozi.nnamdi@company.com</t>
  </si>
  <si>
    <t xml:space="preserve">EMP0312</t>
  </si>
  <si>
    <t xml:space="preserve">EMMANUEL BELLO</t>
  </si>
  <si>
    <t xml:space="preserve">25-Nov-2018</t>
  </si>
  <si>
    <t xml:space="preserve">emmanuel.bello@company.com</t>
  </si>
  <si>
    <t xml:space="preserve">EMP0264</t>
  </si>
  <si>
    <t xml:space="preserve">joy ajayi</t>
  </si>
  <si>
    <t xml:space="preserve">Opperations</t>
  </si>
  <si>
    <t xml:space="preserve">11/04/2025</t>
  </si>
  <si>
    <t xml:space="preserve">joy.ajayi@company.com</t>
  </si>
  <si>
    <t xml:space="preserve">EMP0378</t>
  </si>
  <si>
    <t xml:space="preserve">Ruth Duru</t>
  </si>
  <si>
    <t xml:space="preserve">2022-10-25</t>
  </si>
  <si>
    <t xml:space="preserve">ruth.duru@company.com</t>
  </si>
  <si>
    <t xml:space="preserve">EMP0008</t>
  </si>
  <si>
    <t xml:space="preserve">  Victor Abubakar  </t>
  </si>
  <si>
    <t xml:space="preserve">Cust. Service</t>
  </si>
  <si>
    <t xml:space="preserve">2019-07-15</t>
  </si>
  <si>
    <t xml:space="preserve">victor.abubakar@company.com</t>
  </si>
  <si>
    <t xml:space="preserve">EMP0107</t>
  </si>
  <si>
    <t xml:space="preserve">Joy Abubakar</t>
  </si>
  <si>
    <t xml:space="preserve">MKTG</t>
  </si>
  <si>
    <t xml:space="preserve">06/01/2022</t>
  </si>
  <si>
    <t xml:space="preserve">joy.abubakar@company.com</t>
  </si>
  <si>
    <t xml:space="preserve">EMP0113</t>
  </si>
  <si>
    <t xml:space="preserve">Human Resources</t>
  </si>
  <si>
    <t xml:space="preserve">05/01/2025</t>
  </si>
  <si>
    <t xml:space="preserve">EMP0020</t>
  </si>
  <si>
    <t xml:space="preserve">Hauwa Bello</t>
  </si>
  <si>
    <t xml:space="preserve">06/09/2019</t>
  </si>
  <si>
    <t xml:space="preserve">hauwa.bello @company.com</t>
  </si>
  <si>
    <t xml:space="preserve">EMP0292</t>
  </si>
  <si>
    <t xml:space="preserve">FATIMA BALOGUN</t>
  </si>
  <si>
    <t xml:space="preserve">₦445,411</t>
  </si>
  <si>
    <t xml:space="preserve">12-Nov-2020</t>
  </si>
  <si>
    <t xml:space="preserve">fatima.balogun@company.com</t>
  </si>
  <si>
    <t xml:space="preserve">EMP0171</t>
  </si>
  <si>
    <t xml:space="preserve">fatima okafor</t>
  </si>
  <si>
    <t xml:space="preserve">2019-10-15</t>
  </si>
  <si>
    <t xml:space="preserve">fatima.okafor@company.com</t>
  </si>
  <si>
    <t xml:space="preserve">EMP0323</t>
  </si>
  <si>
    <t xml:space="preserve">  Bisi Bello  </t>
  </si>
  <si>
    <t xml:space="preserve">29/06/2021</t>
  </si>
  <si>
    <t xml:space="preserve">bisi.bello@company.com</t>
  </si>
  <si>
    <t xml:space="preserve">EMP0006</t>
  </si>
  <si>
    <t xml:space="preserve">Ola Umeh</t>
  </si>
  <si>
    <t xml:space="preserve">2019-01-19</t>
  </si>
  <si>
    <t xml:space="preserve">ola.umeh@company.com</t>
  </si>
  <si>
    <t xml:space="preserve">EMP0319</t>
  </si>
  <si>
    <t xml:space="preserve">MARKETING</t>
  </si>
  <si>
    <t xml:space="preserve">2025-04-11</t>
  </si>
  <si>
    <t xml:space="preserve">EMP0004</t>
  </si>
  <si>
    <t xml:space="preserve">bisi ogundipe</t>
  </si>
  <si>
    <t xml:space="preserve">FINANCE</t>
  </si>
  <si>
    <t xml:space="preserve">2022-01-21</t>
  </si>
  <si>
    <t xml:space="preserve">bisi.ogundipe@company.com</t>
  </si>
  <si>
    <t xml:space="preserve">EMP0345</t>
  </si>
  <si>
    <t xml:space="preserve">DANIEL ADEYEMI</t>
  </si>
  <si>
    <t xml:space="preserve">Sales</t>
  </si>
  <si>
    <t xml:space="preserve">2024-01-15</t>
  </si>
  <si>
    <t xml:space="preserve">daniel.adeyemi@company.com</t>
  </si>
  <si>
    <t xml:space="preserve">EMP0175</t>
  </si>
  <si>
    <t xml:space="preserve">AHMED CHUKWU</t>
  </si>
  <si>
    <t xml:space="preserve">15-Aug-2025</t>
  </si>
  <si>
    <t xml:space="preserve">ahmed.chukwu@company.com</t>
  </si>
  <si>
    <t xml:space="preserve">EMP0194</t>
  </si>
  <si>
    <t xml:space="preserve">comfort bello</t>
  </si>
  <si>
    <t xml:space="preserve">Customer service</t>
  </si>
  <si>
    <t xml:space="preserve">08/02/2024</t>
  </si>
  <si>
    <t xml:space="preserve">comfort.bello@company.com</t>
  </si>
  <si>
    <t xml:space="preserve">EMP0190</t>
  </si>
  <si>
    <t xml:space="preserve">EMMANUEL OKONKWO</t>
  </si>
  <si>
    <t xml:space="preserve">Hr </t>
  </si>
  <si>
    <t xml:space="preserve">30/11/2018</t>
  </si>
  <si>
    <t xml:space="preserve">emmanuel.okonkwo@company.com</t>
  </si>
  <si>
    <t xml:space="preserve">EMP0365</t>
  </si>
  <si>
    <t xml:space="preserve">  Emeka Bello  </t>
  </si>
  <si>
    <t xml:space="preserve">2019-06-22</t>
  </si>
  <si>
    <t xml:space="preserve">emeka.bello@company.com</t>
  </si>
  <si>
    <t xml:space="preserve">EMP0364</t>
  </si>
  <si>
    <t xml:space="preserve">Blessing Nnamdi</t>
  </si>
  <si>
    <t xml:space="preserve"> IT</t>
  </si>
  <si>
    <t xml:space="preserve">12-Feb-2023</t>
  </si>
  <si>
    <t xml:space="preserve">blessing.nnamdi@company.com</t>
  </si>
  <si>
    <t xml:space="preserve">EMP0252</t>
  </si>
  <si>
    <t xml:space="preserve">IFEOMA DURU</t>
  </si>
  <si>
    <t xml:space="preserve">30-Aug-2019</t>
  </si>
  <si>
    <t xml:space="preserve">ifeoma.duru@company.com</t>
  </si>
  <si>
    <t xml:space="preserve">EMP0298</t>
  </si>
  <si>
    <t xml:space="preserve">  Joy Okonkwo  </t>
  </si>
  <si>
    <t xml:space="preserve">28-Dec-2022</t>
  </si>
  <si>
    <t xml:space="preserve">joy.okonkwo@company.com</t>
  </si>
  <si>
    <t xml:space="preserve">EMP0111</t>
  </si>
  <si>
    <t xml:space="preserve">  Patience Yakubu  </t>
  </si>
  <si>
    <t xml:space="preserve">₦850,272</t>
  </si>
  <si>
    <t xml:space="preserve">2020-10-06</t>
  </si>
  <si>
    <t xml:space="preserve">patience.yakubu@company.com</t>
  </si>
  <si>
    <t xml:space="preserve">EMP0083</t>
  </si>
  <si>
    <t xml:space="preserve">Peter Okonkwo</t>
  </si>
  <si>
    <t xml:space="preserve">17/02/2018</t>
  </si>
  <si>
    <t xml:space="preserve">peter.okonkwo@company.com</t>
  </si>
  <si>
    <t xml:space="preserve">EMP0351</t>
  </si>
  <si>
    <t xml:space="preserve">Ibrahim Ogundipe</t>
  </si>
  <si>
    <t xml:space="preserve">operations</t>
  </si>
  <si>
    <t xml:space="preserve">30-Aug-2021</t>
  </si>
  <si>
    <t xml:space="preserve">ibrahim.ogundipe@company.com</t>
  </si>
  <si>
    <t xml:space="preserve">EMP0300</t>
  </si>
  <si>
    <t xml:space="preserve">IFEOMA ADEYEMI</t>
  </si>
  <si>
    <t xml:space="preserve">₦390,257</t>
  </si>
  <si>
    <t xml:space="preserve">22-May-2024</t>
  </si>
  <si>
    <t xml:space="preserve">ifeoma.adeyemi@company.com</t>
  </si>
  <si>
    <t xml:space="preserve">EMP0043</t>
  </si>
  <si>
    <t xml:space="preserve">yusuf chukwu</t>
  </si>
  <si>
    <t xml:space="preserve">13/02/2025</t>
  </si>
  <si>
    <t xml:space="preserve">yusuf.chukwu@company.com</t>
  </si>
  <si>
    <t xml:space="preserve">EMP0140</t>
  </si>
  <si>
    <t xml:space="preserve">IFEOMA BELLO</t>
  </si>
  <si>
    <t xml:space="preserve">25-Dec-2018</t>
  </si>
  <si>
    <t xml:space="preserve">ifeoma.bello@company.com</t>
  </si>
  <si>
    <t xml:space="preserve">EMP0220</t>
  </si>
  <si>
    <t xml:space="preserve">Tunde Yakubu</t>
  </si>
  <si>
    <t xml:space="preserve">Finanace</t>
  </si>
  <si>
    <t xml:space="preserve">06-Feb-2025</t>
  </si>
  <si>
    <t xml:space="preserve">tunde.yakubu@company.com</t>
  </si>
  <si>
    <t xml:space="preserve">EMP0019</t>
  </si>
  <si>
    <t xml:space="preserve">  Blessing Eze  </t>
  </si>
  <si>
    <t xml:space="preserve">07-Sep-2018</t>
  </si>
  <si>
    <t xml:space="preserve">blessing.eze@company.com</t>
  </si>
  <si>
    <t xml:space="preserve">EMP0121</t>
  </si>
  <si>
    <t xml:space="preserve">Comfort Obi</t>
  </si>
  <si>
    <t xml:space="preserve">02-Mar-2023</t>
  </si>
  <si>
    <t xml:space="preserve">comfort.obi@@company.com</t>
  </si>
  <si>
    <t xml:space="preserve">EMP0240</t>
  </si>
  <si>
    <t xml:space="preserve">  Ngozi Yakubu  </t>
  </si>
  <si>
    <t xml:space="preserve">27-Apr-2020</t>
  </si>
  <si>
    <t xml:space="preserve">ngozi.yakubu@company.com</t>
  </si>
  <si>
    <t xml:space="preserve">EMP0198</t>
  </si>
  <si>
    <t xml:space="preserve">grace yakubu</t>
  </si>
  <si>
    <t xml:space="preserve">2025-07-05</t>
  </si>
  <si>
    <t xml:space="preserve">grace.yakubu@company.com</t>
  </si>
  <si>
    <t xml:space="preserve">EMP0231</t>
  </si>
  <si>
    <t xml:space="preserve">Esther Chukwu</t>
  </si>
  <si>
    <t xml:space="preserve">14/12/2021</t>
  </si>
  <si>
    <t xml:space="preserve">esther.chukwu@company.com</t>
  </si>
  <si>
    <t xml:space="preserve">EMP0134</t>
  </si>
  <si>
    <t xml:space="preserve">Comfort Lawal</t>
  </si>
  <si>
    <t xml:space="preserve">2023-05-26</t>
  </si>
  <si>
    <t xml:space="preserve">comfort.lawal@company.com</t>
  </si>
  <si>
    <t xml:space="preserve">EMP0222</t>
  </si>
  <si>
    <t xml:space="preserve">JAMES SANI</t>
  </si>
  <si>
    <t xml:space="preserve">08-Aug-2022</t>
  </si>
  <si>
    <t xml:space="preserve">james.sani@company.com</t>
  </si>
  <si>
    <t xml:space="preserve">EMP0021</t>
  </si>
  <si>
    <t xml:space="preserve">  Bisi Ajayi  </t>
  </si>
  <si>
    <t xml:space="preserve">2018-09-17</t>
  </si>
  <si>
    <t xml:space="preserve">bisi.ajayi@company.com</t>
  </si>
  <si>
    <t xml:space="preserve">EMP0184</t>
  </si>
  <si>
    <t xml:space="preserve">yusuf adeyemi</t>
  </si>
  <si>
    <t xml:space="preserve">2024-04-27</t>
  </si>
  <si>
    <t xml:space="preserve">yusuf.adeyemi@company.com</t>
  </si>
  <si>
    <t xml:space="preserve">EMP0327</t>
  </si>
  <si>
    <t xml:space="preserve">bisi umeh</t>
  </si>
  <si>
    <t xml:space="preserve">07/03/2023</t>
  </si>
  <si>
    <t xml:space="preserve">bisi.umeh@company.com</t>
  </si>
  <si>
    <t xml:space="preserve">inactive</t>
  </si>
  <si>
    <t xml:space="preserve">EMP0294</t>
  </si>
  <si>
    <t xml:space="preserve">JOHN AJAYI</t>
  </si>
  <si>
    <t xml:space="preserve">07-Oct-2022</t>
  </si>
  <si>
    <t xml:space="preserve">john.ajayi@company.com</t>
  </si>
  <si>
    <t xml:space="preserve">EMP0002</t>
  </si>
  <si>
    <t xml:space="preserve">  Ibrahim Adeyemi  </t>
  </si>
  <si>
    <t xml:space="preserve">21-Jun-2024</t>
  </si>
  <si>
    <t xml:space="preserve">ibrahim.adeyemi@company.com</t>
  </si>
  <si>
    <t xml:space="preserve">EMP0297</t>
  </si>
  <si>
    <t xml:space="preserve">Peter Okafor</t>
  </si>
  <si>
    <t xml:space="preserve">04/01/2024</t>
  </si>
  <si>
    <t xml:space="preserve">peter.okafor@company.com</t>
  </si>
  <si>
    <t xml:space="preserve">EMP0048</t>
  </si>
  <si>
    <t xml:space="preserve">Joy Uche</t>
  </si>
  <si>
    <t xml:space="preserve">2022-04-25</t>
  </si>
  <si>
    <t xml:space="preserve">joy.uche@company.com</t>
  </si>
  <si>
    <t xml:space="preserve">EMP0011</t>
  </si>
  <si>
    <t xml:space="preserve">  Comfort Obi  </t>
  </si>
  <si>
    <t xml:space="preserve">07/01/2024</t>
  </si>
  <si>
    <t xml:space="preserve">comfort.obi@company.com</t>
  </si>
  <si>
    <t xml:space="preserve">EMP0340</t>
  </si>
  <si>
    <t xml:space="preserve">Patience Okonkwo</t>
  </si>
  <si>
    <t xml:space="preserve">HR</t>
  </si>
  <si>
    <t xml:space="preserve">22-May-2025</t>
  </si>
  <si>
    <t xml:space="preserve">patience.okonkwo@company.com</t>
  </si>
  <si>
    <t xml:space="preserve">EMP0373</t>
  </si>
  <si>
    <t xml:space="preserve">Musa Uche</t>
  </si>
  <si>
    <t xml:space="preserve">2021-02-22</t>
  </si>
  <si>
    <t xml:space="preserve">musa.uche@company.com</t>
  </si>
  <si>
    <t xml:space="preserve">Inactive</t>
  </si>
  <si>
    <t xml:space="preserve">EMP0393</t>
  </si>
  <si>
    <t xml:space="preserve">EMEKA BELLO</t>
  </si>
  <si>
    <t xml:space="preserve">23-Sep-2019</t>
  </si>
  <si>
    <t xml:space="preserve">EMP0254</t>
  </si>
  <si>
    <t xml:space="preserve">Bisi Chukwu</t>
  </si>
  <si>
    <t xml:space="preserve">18-Jul-2025</t>
  </si>
  <si>
    <t xml:space="preserve">bisi.chukwu@company.com</t>
  </si>
  <si>
    <t xml:space="preserve">EMP0303</t>
  </si>
  <si>
    <t xml:space="preserve">RUTH EZE</t>
  </si>
  <si>
    <t xml:space="preserve">24-Mar-2024</t>
  </si>
  <si>
    <t xml:space="preserve">ruth.eze@company.com</t>
  </si>
  <si>
    <t xml:space="preserve">EMP0060</t>
  </si>
  <si>
    <t xml:space="preserve">Esther Sani</t>
  </si>
  <si>
    <t xml:space="preserve">12-Sep-2019</t>
  </si>
  <si>
    <t xml:space="preserve">esther.sani@company.com</t>
  </si>
  <si>
    <t xml:space="preserve">EMP0383</t>
  </si>
  <si>
    <t xml:space="preserve">  David Adeyemi  </t>
  </si>
  <si>
    <t xml:space="preserve">21-Aug-2018</t>
  </si>
  <si>
    <t xml:space="preserve">david.adeyemi@company.com</t>
  </si>
  <si>
    <t xml:space="preserve">EMP0369</t>
  </si>
  <si>
    <t xml:space="preserve">Musa Sani</t>
  </si>
  <si>
    <t xml:space="preserve">2019-07-16</t>
  </si>
  <si>
    <t xml:space="preserve">musa.sani@company.com</t>
  </si>
  <si>
    <t xml:space="preserve">EMP0007</t>
  </si>
  <si>
    <t xml:space="preserve">COMFORT EZE</t>
  </si>
  <si>
    <t xml:space="preserve">20-Nov-2019</t>
  </si>
  <si>
    <t xml:space="preserve">comfort.eze@company.com</t>
  </si>
  <si>
    <t xml:space="preserve">EMP0195</t>
  </si>
  <si>
    <t xml:space="preserve">BISI ABUBAKAR</t>
  </si>
  <si>
    <t xml:space="preserve">2023-02-26</t>
  </si>
  <si>
    <t xml:space="preserve">bisi.abubakar@company.com</t>
  </si>
  <si>
    <t xml:space="preserve">EMP0391</t>
  </si>
  <si>
    <t xml:space="preserve">daniel chukwu</t>
  </si>
  <si>
    <t xml:space="preserve">₦807,187</t>
  </si>
  <si>
    <t xml:space="preserve">05-May-2025</t>
  </si>
  <si>
    <t xml:space="preserve">daniel.chukwu@company.com</t>
  </si>
  <si>
    <t xml:space="preserve">EMP0093</t>
  </si>
  <si>
    <t xml:space="preserve">Grace Balogun</t>
  </si>
  <si>
    <t xml:space="preserve">13-Jan-2024</t>
  </si>
  <si>
    <t xml:space="preserve">grace.balogun@company.com</t>
  </si>
  <si>
    <t xml:space="preserve">EMP0287</t>
  </si>
  <si>
    <t xml:space="preserve">05/02/2020</t>
  </si>
  <si>
    <t xml:space="preserve">EMP0232</t>
  </si>
  <si>
    <t xml:space="preserve">  James Okafor  </t>
  </si>
  <si>
    <t xml:space="preserve">marketing</t>
  </si>
  <si>
    <t xml:space="preserve">2022-04-04</t>
  </si>
  <si>
    <t xml:space="preserve">james.okafor @company.com</t>
  </si>
  <si>
    <t xml:space="preserve">EMP0236</t>
  </si>
  <si>
    <t xml:space="preserve">samuel okafor</t>
  </si>
  <si>
    <t xml:space="preserve">21/08/2025</t>
  </si>
  <si>
    <t xml:space="preserve">samuel.okafor@company.com</t>
  </si>
  <si>
    <t xml:space="preserve">EMP0061</t>
  </si>
  <si>
    <t xml:space="preserve">hauwa nwosu</t>
  </si>
  <si>
    <t xml:space="preserve">28-May-2023</t>
  </si>
  <si>
    <t xml:space="preserve">EMP0308</t>
  </si>
  <si>
    <t xml:space="preserve">David Duru</t>
  </si>
  <si>
    <t xml:space="preserve">2021-03-14</t>
  </si>
  <si>
    <t xml:space="preserve">david.duru@company.com</t>
  </si>
  <si>
    <t xml:space="preserve">EMP0295</t>
  </si>
  <si>
    <t xml:space="preserve">emmanuel adeyemi</t>
  </si>
  <si>
    <t xml:space="preserve">30/01/2025</t>
  </si>
  <si>
    <t xml:space="preserve">emmanuel.adeyemi@company.com</t>
  </si>
  <si>
    <t xml:space="preserve">EMP0099</t>
  </si>
  <si>
    <t xml:space="preserve">Ngozi Lawal</t>
  </si>
  <si>
    <t xml:space="preserve">2022-11-17</t>
  </si>
  <si>
    <t xml:space="preserve">ngozi.lawal@company.com</t>
  </si>
  <si>
    <t xml:space="preserve">EMP0225</t>
  </si>
  <si>
    <t xml:space="preserve">  Ruth Abubakar  </t>
  </si>
  <si>
    <t xml:space="preserve">22-Oct-2018</t>
  </si>
  <si>
    <t xml:space="preserve">ruth.abubakar@company.com</t>
  </si>
  <si>
    <t xml:space="preserve">EMP0215</t>
  </si>
  <si>
    <t xml:space="preserve">2018-05-06</t>
  </si>
  <si>
    <t xml:space="preserve">EMP0087</t>
  </si>
  <si>
    <t xml:space="preserve">BISI SANI</t>
  </si>
  <si>
    <t xml:space="preserve">14/03/2025</t>
  </si>
  <si>
    <t xml:space="preserve">bisi.sani@company.com</t>
  </si>
  <si>
    <t xml:space="preserve">EMP0289</t>
  </si>
  <si>
    <t xml:space="preserve">Ifeoma Nnamdi</t>
  </si>
  <si>
    <t xml:space="preserve">2025-07-14</t>
  </si>
  <si>
    <t xml:space="preserve">ifeoma.nnamdi@company.com</t>
  </si>
  <si>
    <t xml:space="preserve">EMP0258</t>
  </si>
  <si>
    <t xml:space="preserve">MARY ABUBAKAR</t>
  </si>
  <si>
    <t xml:space="preserve">07-Feb-2020</t>
  </si>
  <si>
    <t xml:space="preserve">mary.abubakar@company.com</t>
  </si>
  <si>
    <t xml:space="preserve">EMP0170</t>
  </si>
  <si>
    <t xml:space="preserve">TUNDE BALOGUN</t>
  </si>
  <si>
    <t xml:space="preserve">₦776,542</t>
  </si>
  <si>
    <t xml:space="preserve">11/11/2021</t>
  </si>
  <si>
    <t xml:space="preserve">tunde.balogun@company.com</t>
  </si>
  <si>
    <t xml:space="preserve">EMP0336</t>
  </si>
  <si>
    <t xml:space="preserve">Bisi Obi</t>
  </si>
  <si>
    <t xml:space="preserve">2022-04-09</t>
  </si>
  <si>
    <t xml:space="preserve">bisi.obi@company.com</t>
  </si>
  <si>
    <t xml:space="preserve">EMP0080</t>
  </si>
  <si>
    <t xml:space="preserve">Comfort Ajayi</t>
  </si>
  <si>
    <t xml:space="preserve">24-Jun-2021</t>
  </si>
  <si>
    <t xml:space="preserve">comfort.ajayi@company.com</t>
  </si>
  <si>
    <t xml:space="preserve">EMP0256</t>
  </si>
  <si>
    <t xml:space="preserve">Gabriel Uche</t>
  </si>
  <si>
    <t xml:space="preserve">2022-04-02</t>
  </si>
  <si>
    <t xml:space="preserve">EMP0054</t>
  </si>
  <si>
    <t xml:space="preserve">  Musa Ajayi  </t>
  </si>
  <si>
    <t xml:space="preserve">03/11/2024</t>
  </si>
  <si>
    <t xml:space="preserve">musa.ajayicompany.com</t>
  </si>
  <si>
    <t xml:space="preserve">EMP0307</t>
  </si>
  <si>
    <t xml:space="preserve">GRACE YAKUBU</t>
  </si>
  <si>
    <t xml:space="preserve">2025-04-21</t>
  </si>
  <si>
    <t xml:space="preserve">EMP0328</t>
  </si>
  <si>
    <t xml:space="preserve">  Patience Nnamdi  </t>
  </si>
  <si>
    <t xml:space="preserve">04/06/2023</t>
  </si>
  <si>
    <t xml:space="preserve">patience.nnamdi@company.com</t>
  </si>
  <si>
    <t xml:space="preserve">  Emmanuel Okonkwo  </t>
  </si>
  <si>
    <t xml:space="preserve">EMP0385</t>
  </si>
  <si>
    <t xml:space="preserve">  Emeka Okafor  </t>
  </si>
  <si>
    <t xml:space="preserve">26/11/2021</t>
  </si>
  <si>
    <t xml:space="preserve">emeka.okafor@company.com</t>
  </si>
  <si>
    <t xml:space="preserve">EMP0084</t>
  </si>
  <si>
    <t xml:space="preserve">EMMANUEL YAKUBU</t>
  </si>
  <si>
    <t xml:space="preserve">21/07/2022</t>
  </si>
  <si>
    <t xml:space="preserve">emmanuel.yakubu@company.com</t>
  </si>
  <si>
    <t xml:space="preserve">EMP0301</t>
  </si>
  <si>
    <t xml:space="preserve">  Mary Chukwu  </t>
  </si>
  <si>
    <t xml:space="preserve">2022-02-26</t>
  </si>
  <si>
    <t xml:space="preserve">mary.chukwu@company.com</t>
  </si>
  <si>
    <t xml:space="preserve">EMP0188</t>
  </si>
  <si>
    <t xml:space="preserve">Victor Okafor</t>
  </si>
  <si>
    <t xml:space="preserve">12/01/2018</t>
  </si>
  <si>
    <t xml:space="preserve">victor.okafor@@company.com</t>
  </si>
  <si>
    <t xml:space="preserve">EMP0251</t>
  </si>
  <si>
    <t xml:space="preserve">  Blessing Ajayi  </t>
  </si>
  <si>
    <t xml:space="preserve">06/02/2019</t>
  </si>
  <si>
    <t xml:space="preserve">EMP0160</t>
  </si>
  <si>
    <t xml:space="preserve">Daniel Chukwu</t>
  </si>
  <si>
    <t xml:space="preserve">Sale</t>
  </si>
  <si>
    <t xml:space="preserve">22/11/2023</t>
  </si>
  <si>
    <t xml:space="preserve">EMP0182</t>
  </si>
  <si>
    <t xml:space="preserve">ruth umeh</t>
  </si>
  <si>
    <t xml:space="preserve">2024-09-18</t>
  </si>
  <si>
    <t xml:space="preserve">ruth.umeh@company.com</t>
  </si>
  <si>
    <t xml:space="preserve">EMP0167</t>
  </si>
  <si>
    <t xml:space="preserve">  Grace Adeyemi  </t>
  </si>
  <si>
    <t xml:space="preserve">18/10/2020</t>
  </si>
  <si>
    <t xml:space="preserve">grace.adeyemi@company.com</t>
  </si>
  <si>
    <t xml:space="preserve">EMP0271</t>
  </si>
  <si>
    <t xml:space="preserve">FATIMA NWOSU</t>
  </si>
  <si>
    <t xml:space="preserve">2024-06-24</t>
  </si>
  <si>
    <t xml:space="preserve">fatima.nwosu@company.com</t>
  </si>
  <si>
    <t xml:space="preserve">EMP0029</t>
  </si>
  <si>
    <t xml:space="preserve">  John Duru  </t>
  </si>
  <si>
    <t xml:space="preserve">12-Mar-2019</t>
  </si>
  <si>
    <t xml:space="preserve">john.duru@company.com</t>
  </si>
  <si>
    <t xml:space="preserve">EMP0275</t>
  </si>
  <si>
    <t xml:space="preserve">  Chidi Nnamdi  </t>
  </si>
  <si>
    <t xml:space="preserve">27-Feb-2021</t>
  </si>
  <si>
    <t xml:space="preserve">chidi.nnamdi@company</t>
  </si>
  <si>
    <t xml:space="preserve">EMP0200</t>
  </si>
  <si>
    <t xml:space="preserve">  Victor Ajayi  </t>
  </si>
  <si>
    <t xml:space="preserve">28/06/2021</t>
  </si>
  <si>
    <t xml:space="preserve">victor.ajayi@company.com</t>
  </si>
  <si>
    <t xml:space="preserve">EMP0135</t>
  </si>
  <si>
    <t xml:space="preserve">daniel nwosu</t>
  </si>
  <si>
    <t xml:space="preserve">2019-07-27</t>
  </si>
  <si>
    <t xml:space="preserve">daniel.nwosu@company.com</t>
  </si>
  <si>
    <t xml:space="preserve">EMP0278</t>
  </si>
  <si>
    <t xml:space="preserve">Yusuf Nnamdi</t>
  </si>
  <si>
    <t xml:space="preserve">13-Apr-2024</t>
  </si>
  <si>
    <t xml:space="preserve">yusuf.nnamdi@@company.com</t>
  </si>
  <si>
    <t xml:space="preserve">EMP0132</t>
  </si>
  <si>
    <t xml:space="preserve">david okafor</t>
  </si>
  <si>
    <t xml:space="preserve">₦260,485</t>
  </si>
  <si>
    <t xml:space="preserve">28/02/2022</t>
  </si>
  <si>
    <t xml:space="preserve">david.okafor@company.com</t>
  </si>
  <si>
    <t xml:space="preserve">EMP0028</t>
  </si>
  <si>
    <t xml:space="preserve">Samuel Adeyemi</t>
  </si>
  <si>
    <t xml:space="preserve">2021-04-02</t>
  </si>
  <si>
    <t xml:space="preserve">samuel.adeyemi@company</t>
  </si>
  <si>
    <t xml:space="preserve">EMP0361</t>
  </si>
  <si>
    <t xml:space="preserve">  John Uche  </t>
  </si>
  <si>
    <t xml:space="preserve">12-Oct-2019</t>
  </si>
  <si>
    <t xml:space="preserve">john.uche@company.com</t>
  </si>
  <si>
    <t xml:space="preserve">EMP0399</t>
  </si>
  <si>
    <t xml:space="preserve">Patience Adamu</t>
  </si>
  <si>
    <t xml:space="preserve">₦806,827</t>
  </si>
  <si>
    <t xml:space="preserve">2019-01-08</t>
  </si>
  <si>
    <t xml:space="preserve">patience.adamu@company.com</t>
  </si>
  <si>
    <t xml:space="preserve">EMP0311</t>
  </si>
  <si>
    <t xml:space="preserve">RUTH DURU</t>
  </si>
  <si>
    <t xml:space="preserve">2019-07-18</t>
  </si>
  <si>
    <t xml:space="preserve">EMP0390</t>
  </si>
  <si>
    <t xml:space="preserve">CHIAMAKA ABUBAKAR</t>
  </si>
  <si>
    <t xml:space="preserve">2020-11-17</t>
  </si>
  <si>
    <t xml:space="preserve">chiamaka.abubakar@company.com</t>
  </si>
  <si>
    <t xml:space="preserve">EMP0059</t>
  </si>
  <si>
    <t xml:space="preserve">  Chidi Chukwu  </t>
  </si>
  <si>
    <t xml:space="preserve">2021-02-02</t>
  </si>
  <si>
    <t xml:space="preserve">chidi.chukwu@company.com</t>
  </si>
  <si>
    <t xml:space="preserve">EMP0270</t>
  </si>
  <si>
    <t xml:space="preserve">victor abubakar</t>
  </si>
  <si>
    <t xml:space="preserve">03/12/2021</t>
  </si>
  <si>
    <t xml:space="preserve">EMP0063</t>
  </si>
  <si>
    <t xml:space="preserve">Ahmed Eze</t>
  </si>
  <si>
    <t xml:space="preserve">2020-03-26</t>
  </si>
  <si>
    <t xml:space="preserve">ahmed.eze@company.com</t>
  </si>
  <si>
    <t xml:space="preserve">EMP0368</t>
  </si>
  <si>
    <t xml:space="preserve">Yusuf Abubakar</t>
  </si>
  <si>
    <t xml:space="preserve">05-Jul-2021</t>
  </si>
  <si>
    <t xml:space="preserve">yusuf.abubakar@company.com</t>
  </si>
  <si>
    <t xml:space="preserve">EMP0058</t>
  </si>
  <si>
    <t xml:space="preserve">Musa Umeh</t>
  </si>
  <si>
    <t xml:space="preserve">2018-06-16</t>
  </si>
  <si>
    <t xml:space="preserve">musa.umehcompany.com</t>
  </si>
  <si>
    <t xml:space="preserve">EMP0119</t>
  </si>
  <si>
    <t xml:space="preserve">Aisha Uche</t>
  </si>
  <si>
    <t xml:space="preserve">29-Aug-2024</t>
  </si>
  <si>
    <t xml:space="preserve">aisha.uche@company.com</t>
  </si>
  <si>
    <t xml:space="preserve">EMP0077</t>
  </si>
  <si>
    <t xml:space="preserve">NGOZI AJAYI</t>
  </si>
  <si>
    <t xml:space="preserve">13/02/2023</t>
  </si>
  <si>
    <t xml:space="preserve">ngozi.ajayi@company.com</t>
  </si>
  <si>
    <t xml:space="preserve">EMP0243</t>
  </si>
  <si>
    <t xml:space="preserve">musa okonkwo</t>
  </si>
  <si>
    <t xml:space="preserve">2018-06-08</t>
  </si>
  <si>
    <t xml:space="preserve">musa.okonkwo@company.com</t>
  </si>
  <si>
    <t xml:space="preserve">EMP0177</t>
  </si>
  <si>
    <t xml:space="preserve">esther adeyemi</t>
  </si>
  <si>
    <t xml:space="preserve">2023-11-04</t>
  </si>
  <si>
    <t xml:space="preserve">esther.adeyemi@company.com</t>
  </si>
  <si>
    <t xml:space="preserve">EMP0302</t>
  </si>
  <si>
    <t xml:space="preserve">grace ajayi</t>
  </si>
  <si>
    <t xml:space="preserve">2025-03-12</t>
  </si>
  <si>
    <t xml:space="preserve">grace.ajayi@company.com</t>
  </si>
  <si>
    <t xml:space="preserve">EMP0126</t>
  </si>
  <si>
    <t xml:space="preserve">gabriel chukwu</t>
  </si>
  <si>
    <t xml:space="preserve">21-Jun-2021</t>
  </si>
  <si>
    <t xml:space="preserve">gabriel.chukwu@company.com</t>
  </si>
  <si>
    <t xml:space="preserve">EMP0330</t>
  </si>
  <si>
    <t xml:space="preserve">KEMI OKAFOR</t>
  </si>
  <si>
    <t xml:space="preserve">21-Jan-2019</t>
  </si>
  <si>
    <t xml:space="preserve">kemi.okafor@company.com</t>
  </si>
  <si>
    <t xml:space="preserve">EMP0023</t>
  </si>
  <si>
    <t xml:space="preserve">Ruth Balogun</t>
  </si>
  <si>
    <t xml:space="preserve">20-Mar-2025</t>
  </si>
  <si>
    <t xml:space="preserve">ruth.balogun@company.com</t>
  </si>
  <si>
    <t xml:space="preserve">EMP0290</t>
  </si>
  <si>
    <t xml:space="preserve">Chinedu Ajayi</t>
  </si>
  <si>
    <t xml:space="preserve">26/04/2021</t>
  </si>
  <si>
    <t xml:space="preserve">chinedu.ajayi@@company.com</t>
  </si>
  <si>
    <t xml:space="preserve">EMP0239</t>
  </si>
  <si>
    <t xml:space="preserve">Daniel Abubakar</t>
  </si>
  <si>
    <t xml:space="preserve">03/03/2025</t>
  </si>
  <si>
    <t xml:space="preserve">daniel.abubakar@company.com</t>
  </si>
  <si>
    <t xml:space="preserve">IFEOMA NNAMDI</t>
  </si>
  <si>
    <t xml:space="preserve">EMP0053</t>
  </si>
  <si>
    <t xml:space="preserve">david yakubu</t>
  </si>
  <si>
    <t xml:space="preserve">2018-01-28</t>
  </si>
  <si>
    <t xml:space="preserve">david.yakubu@company.com</t>
  </si>
  <si>
    <t xml:space="preserve">EMP0064</t>
  </si>
  <si>
    <t xml:space="preserve">MUSA UMEH</t>
  </si>
  <si>
    <t xml:space="preserve">₦187,303</t>
  </si>
  <si>
    <t xml:space="preserve">14/04/2025</t>
  </si>
  <si>
    <t xml:space="preserve">musa.umeh@company.com</t>
  </si>
  <si>
    <t xml:space="preserve">EMP0051</t>
  </si>
  <si>
    <t xml:space="preserve">AMAKA OKAFOR</t>
  </si>
  <si>
    <t xml:space="preserve">12-Feb-2018</t>
  </si>
  <si>
    <t xml:space="preserve">amaka.okafor@company.com</t>
  </si>
  <si>
    <t xml:space="preserve">EMP0013</t>
  </si>
  <si>
    <t xml:space="preserve">PATIENCE OBI</t>
  </si>
  <si>
    <t xml:space="preserve">2023-12-04</t>
  </si>
  <si>
    <t xml:space="preserve">patience.obi@company.com</t>
  </si>
  <si>
    <t xml:space="preserve">EMP0168</t>
  </si>
  <si>
    <t xml:space="preserve">Kemi Balogun</t>
  </si>
  <si>
    <t xml:space="preserve">27-Jul-2025</t>
  </si>
  <si>
    <t xml:space="preserve">kemi.balogun@company.com</t>
  </si>
  <si>
    <t xml:space="preserve">EMP0016</t>
  </si>
  <si>
    <t xml:space="preserve">  John Yakubu  </t>
  </si>
  <si>
    <t xml:space="preserve">13/05/2023</t>
  </si>
  <si>
    <t xml:space="preserve">john.yakubu@company.com</t>
  </si>
  <si>
    <t xml:space="preserve">EMP0362</t>
  </si>
  <si>
    <t xml:space="preserve">Emeka Bello</t>
  </si>
  <si>
    <t xml:space="preserve">18/01/2018</t>
  </si>
  <si>
    <t xml:space="preserve">EMP0379</t>
  </si>
  <si>
    <t xml:space="preserve">COMFORT NNAMDI</t>
  </si>
  <si>
    <t xml:space="preserve">20/09/2021</t>
  </si>
  <si>
    <t xml:space="preserve">comfort.nnamdi @company.com</t>
  </si>
  <si>
    <t xml:space="preserve">EMP0366</t>
  </si>
  <si>
    <t xml:space="preserve">Patience Duru</t>
  </si>
  <si>
    <t xml:space="preserve">26-Nov-2018</t>
  </si>
  <si>
    <t xml:space="preserve">patience.duru@company.com</t>
  </si>
  <si>
    <t xml:space="preserve">EMP0347</t>
  </si>
  <si>
    <t xml:space="preserve">Aisha Bello</t>
  </si>
  <si>
    <t xml:space="preserve">31-Jul-2022</t>
  </si>
  <si>
    <t xml:space="preserve">aisha.bello@company.com</t>
  </si>
  <si>
    <t xml:space="preserve">EMP0172</t>
  </si>
  <si>
    <t xml:space="preserve">PATIENCE NNAMDI</t>
  </si>
  <si>
    <t xml:space="preserve">2024-09-07</t>
  </si>
  <si>
    <t xml:space="preserve">EMP0041</t>
  </si>
  <si>
    <t xml:space="preserve">gabriel yakubu</t>
  </si>
  <si>
    <t xml:space="preserve">2022-07-19</t>
  </si>
  <si>
    <t xml:space="preserve">gabriel.yakubu@company.com</t>
  </si>
  <si>
    <t xml:space="preserve">EMP0354</t>
  </si>
  <si>
    <t xml:space="preserve">  Joy Umeh  </t>
  </si>
  <si>
    <t xml:space="preserve">08/05/2020</t>
  </si>
  <si>
    <t xml:space="preserve">joy.umeh@company.com</t>
  </si>
  <si>
    <t xml:space="preserve">EMP0392</t>
  </si>
  <si>
    <t xml:space="preserve">  James Balogun  </t>
  </si>
  <si>
    <t xml:space="preserve">21-Mar-2019</t>
  </si>
  <si>
    <t xml:space="preserve">james.balogun@company.com</t>
  </si>
  <si>
    <t xml:space="preserve">EMP0176</t>
  </si>
  <si>
    <t xml:space="preserve">VICTOR CHUKWU</t>
  </si>
  <si>
    <t xml:space="preserve">06/08/2025</t>
  </si>
  <si>
    <t xml:space="preserve">victor.chukwu@company.com</t>
  </si>
  <si>
    <t xml:space="preserve">EMP0400</t>
  </si>
  <si>
    <t xml:space="preserve">ifeoma chukwu</t>
  </si>
  <si>
    <t xml:space="preserve">2023-10-15</t>
  </si>
  <si>
    <t xml:space="preserve">ifeoma.chukwu@company.com</t>
  </si>
  <si>
    <t xml:space="preserve">EMP0199</t>
  </si>
  <si>
    <t xml:space="preserve">  Comfort Duru  </t>
  </si>
  <si>
    <t xml:space="preserve">26/05/2018</t>
  </si>
  <si>
    <t xml:space="preserve">comfort.duru@company.com</t>
  </si>
  <si>
    <t xml:space="preserve">EMP0272</t>
  </si>
  <si>
    <t xml:space="preserve">Peter Ajayi</t>
  </si>
  <si>
    <t xml:space="preserve">23/03/2021</t>
  </si>
  <si>
    <t xml:space="preserve">peter.ajayi@company.com</t>
  </si>
  <si>
    <t xml:space="preserve">EMP0244</t>
  </si>
  <si>
    <t xml:space="preserve">GABRIEL CHUKWU</t>
  </si>
  <si>
    <t xml:space="preserve">14-Sep-2024</t>
  </si>
  <si>
    <t xml:space="preserve">EMP0149</t>
  </si>
  <si>
    <t xml:space="preserve">Hauwa Duru</t>
  </si>
  <si>
    <t xml:space="preserve">06/02/2025</t>
  </si>
  <si>
    <t xml:space="preserve">hauwa.duru@company.com</t>
  </si>
  <si>
    <t xml:space="preserve">EMP0153</t>
  </si>
  <si>
    <t xml:space="preserve">musa nnamdi</t>
  </si>
  <si>
    <t xml:space="preserve">2020-09-04</t>
  </si>
  <si>
    <t xml:space="preserve">musa.nnamdi@company.com</t>
  </si>
  <si>
    <t xml:space="preserve">EMP0162</t>
  </si>
  <si>
    <t xml:space="preserve">HAUWA OBI</t>
  </si>
  <si>
    <t xml:space="preserve">28/01/2025</t>
  </si>
  <si>
    <t xml:space="preserve">hauwa.obi@company.com</t>
  </si>
  <si>
    <t xml:space="preserve">EMP0268</t>
  </si>
  <si>
    <t xml:space="preserve">aisha okafor</t>
  </si>
  <si>
    <t xml:space="preserve">25/01/2025</t>
  </si>
  <si>
    <t xml:space="preserve">aisha.okafor@company.com</t>
  </si>
  <si>
    <t xml:space="preserve">EMP0247</t>
  </si>
  <si>
    <t xml:space="preserve">  Fatima Balogun  </t>
  </si>
  <si>
    <t xml:space="preserve">₦427,740</t>
  </si>
  <si>
    <t xml:space="preserve">12/01/2022</t>
  </si>
  <si>
    <t xml:space="preserve">EMP0201</t>
  </si>
  <si>
    <t xml:space="preserve">CHIDI UCHE</t>
  </si>
  <si>
    <t xml:space="preserve">29/09/2021</t>
  </si>
  <si>
    <t xml:space="preserve">chidi.uche@company.com</t>
  </si>
  <si>
    <t xml:space="preserve">EMP0305</t>
  </si>
  <si>
    <t xml:space="preserve">ESTHER LAWAL</t>
  </si>
  <si>
    <t xml:space="preserve">19/05/2020</t>
  </si>
  <si>
    <t xml:space="preserve">esther.lawal@company.com</t>
  </si>
  <si>
    <t xml:space="preserve">EMP0027</t>
  </si>
  <si>
    <t xml:space="preserve">DAVID OKAFOR</t>
  </si>
  <si>
    <t xml:space="preserve">02-Jan-2021</t>
  </si>
  <si>
    <t xml:space="preserve">EMP0146</t>
  </si>
  <si>
    <t xml:space="preserve">HAUWA SANI</t>
  </si>
  <si>
    <t xml:space="preserve">21/08/2024</t>
  </si>
  <si>
    <t xml:space="preserve">hauwa.sani@company.com</t>
  </si>
  <si>
    <t xml:space="preserve">EMP0186</t>
  </si>
  <si>
    <t xml:space="preserve">Amaka Eze</t>
  </si>
  <si>
    <t xml:space="preserve">04/08/2021</t>
  </si>
  <si>
    <t xml:space="preserve">amaka.eze@company.com</t>
  </si>
  <si>
    <t xml:space="preserve">EMP0010</t>
  </si>
  <si>
    <t xml:space="preserve">OLA BELLO</t>
  </si>
  <si>
    <t xml:space="preserve">2022-05-27</t>
  </si>
  <si>
    <t xml:space="preserve">ola.bello@@company.com</t>
  </si>
  <si>
    <t xml:space="preserve">EMP0371</t>
  </si>
  <si>
    <t xml:space="preserve">ola nwosu</t>
  </si>
  <si>
    <t xml:space="preserve">23-May-2023</t>
  </si>
  <si>
    <t xml:space="preserve">ola.nwosu@company.com</t>
  </si>
  <si>
    <t xml:space="preserve">EMP0052</t>
  </si>
  <si>
    <t xml:space="preserve">patience nnamdi</t>
  </si>
  <si>
    <t xml:space="preserve">15/08/2018</t>
  </si>
  <si>
    <t xml:space="preserve">EMP0005</t>
  </si>
  <si>
    <t xml:space="preserve">Emmanuel Yakubu</t>
  </si>
  <si>
    <t xml:space="preserve">2023-09-28</t>
  </si>
  <si>
    <t xml:space="preserve">EMP0197</t>
  </si>
  <si>
    <t xml:space="preserve">Mary Adamu</t>
  </si>
  <si>
    <t xml:space="preserve">2020-11-08</t>
  </si>
  <si>
    <t xml:space="preserve">mary.adamu@company.com</t>
  </si>
  <si>
    <t xml:space="preserve">EMP0125</t>
  </si>
  <si>
    <t xml:space="preserve">Ahmed Duru</t>
  </si>
  <si>
    <t xml:space="preserve">27/03/2021</t>
  </si>
  <si>
    <t xml:space="preserve">ahmed.duru@company.com</t>
  </si>
  <si>
    <t xml:space="preserve">EMP0129</t>
  </si>
  <si>
    <t xml:space="preserve">James Okonkwo</t>
  </si>
  <si>
    <t xml:space="preserve">23-Feb-2021</t>
  </si>
  <si>
    <t xml:space="preserve">james.okonkwo@company.com</t>
  </si>
  <si>
    <t xml:space="preserve">EMP0166</t>
  </si>
  <si>
    <t xml:space="preserve">  Ola Bello  </t>
  </si>
  <si>
    <t xml:space="preserve">19/01/2025</t>
  </si>
  <si>
    <t xml:space="preserve">ola.bello@company.com</t>
  </si>
  <si>
    <t xml:space="preserve">EMP0296</t>
  </si>
  <si>
    <t xml:space="preserve">ibrahim lawal</t>
  </si>
  <si>
    <t xml:space="preserve">21/05/2022</t>
  </si>
  <si>
    <t xml:space="preserve">ibrahim.lawal@company.com</t>
  </si>
  <si>
    <t xml:space="preserve">EMP0050</t>
  </si>
  <si>
    <t xml:space="preserve">Daniel Okafor</t>
  </si>
  <si>
    <t xml:space="preserve">28-Mar-2025</t>
  </si>
  <si>
    <t xml:space="preserve">EMP0138</t>
  </si>
  <si>
    <t xml:space="preserve">PATIENCE EZE</t>
  </si>
  <si>
    <t xml:space="preserve">04/09/2020</t>
  </si>
  <si>
    <t xml:space="preserve">patience.eze@company</t>
  </si>
  <si>
    <t xml:space="preserve">EMP0151</t>
  </si>
  <si>
    <t xml:space="preserve">Bisi Ogundipe</t>
  </si>
  <si>
    <t xml:space="preserve">08/12/2022</t>
  </si>
  <si>
    <t xml:space="preserve">EMP0122</t>
  </si>
  <si>
    <t xml:space="preserve">Chinedu Abubakar</t>
  </si>
  <si>
    <t xml:space="preserve">14-Feb-2022</t>
  </si>
  <si>
    <t xml:space="preserve">chinedu.abubakar@company.com</t>
  </si>
  <si>
    <t xml:space="preserve">EMP0357</t>
  </si>
  <si>
    <t xml:space="preserve">MARY NWOSU</t>
  </si>
  <si>
    <t xml:space="preserve">02/01/2023</t>
  </si>
  <si>
    <t xml:space="preserve">mary.nwosu@company.com</t>
  </si>
  <si>
    <t xml:space="preserve">EMP0211</t>
  </si>
  <si>
    <t xml:space="preserve">James Balogun</t>
  </si>
  <si>
    <t xml:space="preserve">₦880,387</t>
  </si>
  <si>
    <t xml:space="preserve">2024-12-09</t>
  </si>
  <si>
    <t xml:space="preserve">EMP0148</t>
  </si>
  <si>
    <t xml:space="preserve">VICTOR ADAMU</t>
  </si>
  <si>
    <t xml:space="preserve">09-Jun-2025</t>
  </si>
  <si>
    <t xml:space="preserve">EMP0185</t>
  </si>
  <si>
    <t xml:space="preserve">JOHN CHUKWU</t>
  </si>
  <si>
    <t xml:space="preserve">2018-04-14</t>
  </si>
  <si>
    <t xml:space="preserve">john.chukwu@company.com</t>
  </si>
  <si>
    <t xml:space="preserve">EMP0306</t>
  </si>
  <si>
    <t xml:space="preserve">Yusuf Okonkwo</t>
  </si>
  <si>
    <t xml:space="preserve">07/10/2018</t>
  </si>
  <si>
    <t xml:space="preserve">yusuf.okonkwo@company.com</t>
  </si>
  <si>
    <t xml:space="preserve">EMP0210</t>
  </si>
  <si>
    <t xml:space="preserve">grace umeh</t>
  </si>
  <si>
    <t xml:space="preserve">04/10/2019</t>
  </si>
  <si>
    <t xml:space="preserve">grace.umeh@company.com</t>
  </si>
  <si>
    <t xml:space="preserve">EMP0241</t>
  </si>
  <si>
    <t xml:space="preserve">david sani</t>
  </si>
  <si>
    <t xml:space="preserve">21/06/2018</t>
  </si>
  <si>
    <t xml:space="preserve">david.sani@company.com</t>
  </si>
  <si>
    <t xml:space="preserve">EMP0072</t>
  </si>
  <si>
    <t xml:space="preserve">chinedu ogundipe</t>
  </si>
  <si>
    <t xml:space="preserve">22/04/2023</t>
  </si>
  <si>
    <t xml:space="preserve">chinedu.ogundipe@company.com</t>
  </si>
  <si>
    <t xml:space="preserve">EMP0100</t>
  </si>
  <si>
    <t xml:space="preserve">  John Abubakar  </t>
  </si>
  <si>
    <t xml:space="preserve">13/03/2023</t>
  </si>
  <si>
    <t xml:space="preserve">john.abubakar@company.com</t>
  </si>
  <si>
    <t xml:space="preserve">EMP0212</t>
  </si>
  <si>
    <t xml:space="preserve">Daniel Adamu</t>
  </si>
  <si>
    <t xml:space="preserve">13-Feb-2019</t>
  </si>
  <si>
    <t xml:space="preserve">daniel.adamu@company.com</t>
  </si>
  <si>
    <t xml:space="preserve">EMP0044</t>
  </si>
  <si>
    <t xml:space="preserve">IBRAHIM DURU</t>
  </si>
  <si>
    <t xml:space="preserve">21-Jan-2023</t>
  </si>
  <si>
    <t xml:space="preserve">ibrahim.duru@company.com</t>
  </si>
  <si>
    <t xml:space="preserve">EMP0381</t>
  </si>
  <si>
    <t xml:space="preserve">BISI EZE</t>
  </si>
  <si>
    <t xml:space="preserve">2023-09-23</t>
  </si>
  <si>
    <t xml:space="preserve">bisi.eze@company.com</t>
  </si>
  <si>
    <t xml:space="preserve">EMP0339</t>
  </si>
  <si>
    <t xml:space="preserve">Kemi Yakubu</t>
  </si>
  <si>
    <t xml:space="preserve">13-Dec-2021</t>
  </si>
  <si>
    <t xml:space="preserve">kemi.yakubu@company.com</t>
  </si>
  <si>
    <t xml:space="preserve">EMP0039</t>
  </si>
  <si>
    <t xml:space="preserve">  Ahmed Nnamdi  </t>
  </si>
  <si>
    <t xml:space="preserve">30/06/2021</t>
  </si>
  <si>
    <t xml:space="preserve">ahmed.nnamdi@company.com</t>
  </si>
  <si>
    <t xml:space="preserve">EMP0131</t>
  </si>
  <si>
    <t xml:space="preserve">Chinedu Duru</t>
  </si>
  <si>
    <t xml:space="preserve">15-Sep-2024</t>
  </si>
  <si>
    <t xml:space="preserve">chinedu.duru@company.com</t>
  </si>
  <si>
    <t xml:space="preserve">EMP0370</t>
  </si>
  <si>
    <t xml:space="preserve">Chidi Obi</t>
  </si>
  <si>
    <t xml:space="preserve">05-Aug-2023</t>
  </si>
  <si>
    <t xml:space="preserve">chidi.obi@company.com</t>
  </si>
  <si>
    <t xml:space="preserve">EMP0106</t>
  </si>
  <si>
    <t xml:space="preserve">2023-04-02</t>
  </si>
  <si>
    <t xml:space="preserve">EMP0040</t>
  </si>
  <si>
    <t xml:space="preserve">JOY ABUBAKAR</t>
  </si>
  <si>
    <t xml:space="preserve">EMP0322</t>
  </si>
  <si>
    <t xml:space="preserve">Bisi Okafor</t>
  </si>
  <si>
    <t xml:space="preserve">13/12/2020</t>
  </si>
  <si>
    <t xml:space="preserve">bisi.okafor@company.com</t>
  </si>
  <si>
    <t xml:space="preserve">EMP0259</t>
  </si>
  <si>
    <t xml:space="preserve">Emeka Abubakar</t>
  </si>
  <si>
    <t xml:space="preserve">24/01/2022</t>
  </si>
  <si>
    <t xml:space="preserve">emeka.abubakar@company.com</t>
  </si>
  <si>
    <t xml:space="preserve">EMP0353</t>
  </si>
  <si>
    <t xml:space="preserve">Patience Lawal</t>
  </si>
  <si>
    <t xml:space="preserve">2018-03-10</t>
  </si>
  <si>
    <t xml:space="preserve">patience.lawal@company.com</t>
  </si>
  <si>
    <t xml:space="preserve">EMP0276</t>
  </si>
  <si>
    <t xml:space="preserve">james okafor</t>
  </si>
  <si>
    <t xml:space="preserve">29-Sep-2023</t>
  </si>
  <si>
    <t xml:space="preserve">james.okafor@company.com</t>
  </si>
  <si>
    <t xml:space="preserve">EMP0265</t>
  </si>
  <si>
    <t xml:space="preserve">ola obi</t>
  </si>
  <si>
    <t xml:space="preserve">27/07/2019</t>
  </si>
  <si>
    <t xml:space="preserve">ola.obi@company.com</t>
  </si>
  <si>
    <t xml:space="preserve">EMP0214</t>
  </si>
  <si>
    <t xml:space="preserve">emmanuel duru</t>
  </si>
  <si>
    <t xml:space="preserve">2022-05-13</t>
  </si>
  <si>
    <t xml:space="preserve">emmanuel.duru @company.com</t>
  </si>
  <si>
    <t xml:space="preserve">EMP0219</t>
  </si>
  <si>
    <t xml:space="preserve">Chidi Adeyemi</t>
  </si>
  <si>
    <t xml:space="preserve">2024-06-12</t>
  </si>
  <si>
    <t xml:space="preserve">chidi.adeyemi@company.com</t>
  </si>
  <si>
    <t xml:space="preserve">EMP0120</t>
  </si>
  <si>
    <t xml:space="preserve">PATIENCE NWOSU</t>
  </si>
  <si>
    <t xml:space="preserve">₦575,275</t>
  </si>
  <si>
    <t xml:space="preserve">28/12/2018</t>
  </si>
  <si>
    <t xml:space="preserve">patience.nwosu@company.com</t>
  </si>
  <si>
    <t xml:space="preserve">EMP0209</t>
  </si>
  <si>
    <t xml:space="preserve">Gabriel Abubakar</t>
  </si>
  <si>
    <t xml:space="preserve">24-Dec-2018</t>
  </si>
  <si>
    <t xml:space="preserve">gabriel.abubakar@company.com</t>
  </si>
  <si>
    <t xml:space="preserve">EMP0245</t>
  </si>
  <si>
    <t xml:space="preserve">kemi adeyemi</t>
  </si>
  <si>
    <t xml:space="preserve">2025-05-13</t>
  </si>
  <si>
    <t xml:space="preserve">kemi.adeyemi@company.com</t>
  </si>
  <si>
    <t xml:space="preserve">EMP0333</t>
  </si>
  <si>
    <t xml:space="preserve">GABRIEL LAWAL</t>
  </si>
  <si>
    <t xml:space="preserve">01-Sep-2019</t>
  </si>
  <si>
    <t xml:space="preserve">gabriel.lawal@company.com</t>
  </si>
  <si>
    <t xml:space="preserve">EMP0202</t>
  </si>
  <si>
    <t xml:space="preserve">20-May-2018</t>
  </si>
  <si>
    <t xml:space="preserve">EMP0025</t>
  </si>
  <si>
    <t xml:space="preserve">GRACE ABUBAKAR</t>
  </si>
  <si>
    <t xml:space="preserve">25/07/2020</t>
  </si>
  <si>
    <t xml:space="preserve">grace.abubakar@company.com</t>
  </si>
  <si>
    <t xml:space="preserve">EMP0221</t>
  </si>
  <si>
    <t xml:space="preserve">Mary Nwosu</t>
  </si>
  <si>
    <t xml:space="preserve">2020-12-19</t>
  </si>
  <si>
    <t xml:space="preserve">EMP0329</t>
  </si>
  <si>
    <t xml:space="preserve">James Adamu</t>
  </si>
  <si>
    <t xml:space="preserve">2025-02-21</t>
  </si>
  <si>
    <t xml:space="preserve">james.adamu@company.com</t>
  </si>
  <si>
    <t xml:space="preserve">EMP0075</t>
  </si>
  <si>
    <t xml:space="preserve">Daniel Obi</t>
  </si>
  <si>
    <t xml:space="preserve">2022-10-30</t>
  </si>
  <si>
    <t xml:space="preserve">daniel.obicompany.com</t>
  </si>
  <si>
    <t xml:space="preserve">EMP0180</t>
  </si>
  <si>
    <t xml:space="preserve">24/02/2025</t>
  </si>
  <si>
    <t xml:space="preserve">hauwa.bello@company.com</t>
  </si>
  <si>
    <t xml:space="preserve">EMP0033</t>
  </si>
  <si>
    <t xml:space="preserve">Ruth Nnamdi</t>
  </si>
  <si>
    <t xml:space="preserve">25-Jun-2022</t>
  </si>
  <si>
    <t xml:space="preserve">ruth.nnamdi@company.com</t>
  </si>
  <si>
    <t xml:space="preserve">EMP0363</t>
  </si>
  <si>
    <t xml:space="preserve">ibrahim okonkwo</t>
  </si>
  <si>
    <t xml:space="preserve">2018-05-27</t>
  </si>
  <si>
    <t xml:space="preserve">ibrahim.okonkwo@company.com</t>
  </si>
  <si>
    <t xml:space="preserve">EMP0359</t>
  </si>
  <si>
    <t xml:space="preserve">Chidi Abubakar</t>
  </si>
  <si>
    <t xml:space="preserve">18-Dec-2019</t>
  </si>
  <si>
    <t xml:space="preserve">chidi.abubakar@company.com</t>
  </si>
  <si>
    <t xml:space="preserve">EMP0145</t>
  </si>
  <si>
    <t xml:space="preserve">Samuel Duru</t>
  </si>
  <si>
    <t xml:space="preserve">2019-02-26</t>
  </si>
  <si>
    <t xml:space="preserve">samuel.duru@company.com</t>
  </si>
  <si>
    <t xml:space="preserve">EMP0318</t>
  </si>
  <si>
    <t xml:space="preserve">chiamaka chukwu</t>
  </si>
  <si>
    <t xml:space="preserve">02-Aug-2025</t>
  </si>
  <si>
    <t xml:space="preserve">chiamaka.chukwu@company.com</t>
  </si>
  <si>
    <t xml:space="preserve">EMP0235</t>
  </si>
  <si>
    <t xml:space="preserve">Chidi Yakubu</t>
  </si>
  <si>
    <t xml:space="preserve">25-Jul-2018</t>
  </si>
  <si>
    <t xml:space="preserve">chidi.yakubu@company</t>
  </si>
  <si>
    <t xml:space="preserve">EMP0279</t>
  </si>
  <si>
    <t xml:space="preserve">mary nwosu</t>
  </si>
  <si>
    <t xml:space="preserve">04-May-2024</t>
  </si>
  <si>
    <t xml:space="preserve">EMP0349</t>
  </si>
  <si>
    <t xml:space="preserve">11/08/2023</t>
  </si>
  <si>
    <t xml:space="preserve">gabriel.yakubu@@company.com</t>
  </si>
  <si>
    <t xml:space="preserve">EMP0213</t>
  </si>
  <si>
    <t xml:space="preserve">GRACE OGUNDIPE</t>
  </si>
  <si>
    <t xml:space="preserve">27-Nov-2020</t>
  </si>
  <si>
    <t xml:space="preserve">grace.ogundipe@company.com</t>
  </si>
  <si>
    <t xml:space="preserve">EMP0204</t>
  </si>
  <si>
    <t xml:space="preserve">  Bisi Umeh  </t>
  </si>
  <si>
    <t xml:space="preserve">2020-08-19</t>
  </si>
  <si>
    <t xml:space="preserve">EMP0066</t>
  </si>
  <si>
    <t xml:space="preserve">AMAKA OGUNDIPE</t>
  </si>
  <si>
    <t xml:space="preserve">03/08/2019</t>
  </si>
  <si>
    <t xml:space="preserve">amaka.ogundipe@company.com</t>
  </si>
  <si>
    <t xml:space="preserve">EMP0078</t>
  </si>
  <si>
    <t xml:space="preserve">Ola Chukwu</t>
  </si>
  <si>
    <t xml:space="preserve">2025-08-15</t>
  </si>
  <si>
    <t xml:space="preserve">ola.chukwu@company.com</t>
  </si>
  <si>
    <t xml:space="preserve">EMP0205</t>
  </si>
  <si>
    <t xml:space="preserve">COMFORT ABUBAKAR</t>
  </si>
  <si>
    <t xml:space="preserve">2021-06-17</t>
  </si>
  <si>
    <t xml:space="preserve">comfort.abubakar@company.com</t>
  </si>
  <si>
    <t xml:space="preserve">EMP0224</t>
  </si>
  <si>
    <t xml:space="preserve">  Emeka Adeyemi  </t>
  </si>
  <si>
    <t xml:space="preserve">09-Feb-2023</t>
  </si>
  <si>
    <t xml:space="preserve">emeka.adeyemi@company.com</t>
  </si>
  <si>
    <t xml:space="preserve">EMP0001</t>
  </si>
  <si>
    <t xml:space="preserve">Ola Bello</t>
  </si>
  <si>
    <t xml:space="preserve">10/09/2023</t>
  </si>
  <si>
    <t xml:space="preserve">EMP0207</t>
  </si>
  <si>
    <t xml:space="preserve">Joy Ajayi</t>
  </si>
  <si>
    <t xml:space="preserve">2024-10-05</t>
  </si>
  <si>
    <t xml:space="preserve">joy.ajayicompany.com</t>
  </si>
  <si>
    <t xml:space="preserve">EMP0285</t>
  </si>
  <si>
    <t xml:space="preserve">PATIENCE YAKUBU</t>
  </si>
  <si>
    <t xml:space="preserve">EMP0269</t>
  </si>
  <si>
    <t xml:space="preserve">Mary Ogundipe</t>
  </si>
  <si>
    <t xml:space="preserve">04-Oct-2024</t>
  </si>
  <si>
    <t xml:space="preserve">mary.ogundipe@company.com</t>
  </si>
  <si>
    <t xml:space="preserve">EMP0056</t>
  </si>
  <si>
    <t xml:space="preserve">  Musa Obi  </t>
  </si>
  <si>
    <t xml:space="preserve">2022-03-12</t>
  </si>
  <si>
    <t xml:space="preserve">musa.obi@company.com</t>
  </si>
  <si>
    <t xml:space="preserve">EMP0216</t>
  </si>
  <si>
    <t xml:space="preserve">JOY EZE</t>
  </si>
  <si>
    <t xml:space="preserve">2019-07-14</t>
  </si>
  <si>
    <t xml:space="preserve">joy.eze@company.com</t>
  </si>
  <si>
    <t xml:space="preserve">EMP0389</t>
  </si>
  <si>
    <t xml:space="preserve">03-May-2019</t>
  </si>
  <si>
    <t xml:space="preserve">EMP0152</t>
  </si>
  <si>
    <t xml:space="preserve">CHIAMAKA EZE</t>
  </si>
  <si>
    <t xml:space="preserve">03-Mar-2023</t>
  </si>
  <si>
    <t xml:space="preserve">chiamaka.eze@company</t>
  </si>
  <si>
    <t xml:space="preserve">EMP0097</t>
  </si>
  <si>
    <t xml:space="preserve">EMEKA CHUKWU</t>
  </si>
  <si>
    <t xml:space="preserve">2019-11-26</t>
  </si>
  <si>
    <t xml:space="preserve">emeka.chukwu@company.com</t>
  </si>
  <si>
    <t xml:space="preserve">EMP0073</t>
  </si>
  <si>
    <t xml:space="preserve">tunde bello</t>
  </si>
  <si>
    <t xml:space="preserve">2025-06-28</t>
  </si>
  <si>
    <t xml:space="preserve">tunde.bello@company.com</t>
  </si>
  <si>
    <t xml:space="preserve">EMP0124</t>
  </si>
  <si>
    <t xml:space="preserve">  Chidi Ogundipe  </t>
  </si>
  <si>
    <t xml:space="preserve">2020-10-05</t>
  </si>
  <si>
    <t xml:space="preserve">chidi.ogundipe@company.com</t>
  </si>
  <si>
    <t xml:space="preserve">EMP0032</t>
  </si>
  <si>
    <t xml:space="preserve">SAMUEL CHUKWU</t>
  </si>
  <si>
    <t xml:space="preserve">2020-06-11</t>
  </si>
  <si>
    <t xml:space="preserve">samuel.chukwu@company.com</t>
  </si>
  <si>
    <t xml:space="preserve">EMP0163</t>
  </si>
  <si>
    <t xml:space="preserve">13/08/2022</t>
  </si>
  <si>
    <t xml:space="preserve">bisi.uche@company</t>
  </si>
  <si>
    <t xml:space="preserve">EMP0374</t>
  </si>
  <si>
    <t xml:space="preserve">chiamaka obi</t>
  </si>
  <si>
    <t xml:space="preserve">21/02/2019</t>
  </si>
  <si>
    <t xml:space="preserve">chiamaka.obi@company.com</t>
  </si>
  <si>
    <t xml:space="preserve">EMP0142</t>
  </si>
  <si>
    <t xml:space="preserve">Fatima Sani</t>
  </si>
  <si>
    <t xml:space="preserve">12-Jun-2024</t>
  </si>
  <si>
    <t xml:space="preserve">fatima.sani@company.com</t>
  </si>
  <si>
    <t xml:space="preserve">EMP0136</t>
  </si>
  <si>
    <t xml:space="preserve">  Ola Ajayi  </t>
  </si>
  <si>
    <t xml:space="preserve">09-Jan-2020</t>
  </si>
  <si>
    <t xml:space="preserve">ola.ajayi@company.com</t>
  </si>
  <si>
    <t xml:space="preserve">EMP0286</t>
  </si>
  <si>
    <t xml:space="preserve">amaka nwosu</t>
  </si>
  <si>
    <t xml:space="preserve">18-Jun-2020</t>
  </si>
  <si>
    <t xml:space="preserve">amaka.nwosu@company.com</t>
  </si>
  <si>
    <t xml:space="preserve">EMP0181</t>
  </si>
  <si>
    <t xml:space="preserve">MUSA EZE</t>
  </si>
  <si>
    <t xml:space="preserve">25-Jan-2018</t>
  </si>
  <si>
    <t xml:space="preserve">musa.eze@company.com</t>
  </si>
  <si>
    <t xml:space="preserve">EMP0128</t>
  </si>
  <si>
    <t xml:space="preserve">Musa Nwosu</t>
  </si>
  <si>
    <t xml:space="preserve">07-Jul-2022</t>
  </si>
  <si>
    <t xml:space="preserve">musa.nwosu@company.com</t>
  </si>
  <si>
    <t xml:space="preserve">EMP0387</t>
  </si>
  <si>
    <t xml:space="preserve">27-Jul-2021</t>
  </si>
  <si>
    <t xml:space="preserve">EMP0260</t>
  </si>
  <si>
    <t xml:space="preserve">Musa Obi</t>
  </si>
  <si>
    <t xml:space="preserve">2020-10-04</t>
  </si>
  <si>
    <t xml:space="preserve">EMP0309</t>
  </si>
  <si>
    <t xml:space="preserve">VICTOR DURU</t>
  </si>
  <si>
    <t xml:space="preserve">2018-09-27</t>
  </si>
  <si>
    <t xml:space="preserve">victor.duru@company.com</t>
  </si>
  <si>
    <t xml:space="preserve">EMP0095</t>
  </si>
  <si>
    <t xml:space="preserve">  David Yakubu  </t>
  </si>
  <si>
    <t xml:space="preserve">2025-01-16</t>
  </si>
  <si>
    <t xml:space="preserve">EMP0218</t>
  </si>
  <si>
    <t xml:space="preserve">  Grace Lawal  </t>
  </si>
  <si>
    <t xml:space="preserve">04/02/2019</t>
  </si>
  <si>
    <t xml:space="preserve">grace.lawal@company.com</t>
  </si>
  <si>
    <t xml:space="preserve">EMP0079</t>
  </si>
  <si>
    <t xml:space="preserve">2022-03-02</t>
  </si>
  <si>
    <t xml:space="preserve">EMP0081</t>
  </si>
  <si>
    <t xml:space="preserve">david bello</t>
  </si>
  <si>
    <t xml:space="preserve">2019-06-25</t>
  </si>
  <si>
    <t xml:space="preserve">david.bello@company.com</t>
  </si>
  <si>
    <t xml:space="preserve">EMP0208</t>
  </si>
  <si>
    <t xml:space="preserve">09-Jan-2024</t>
  </si>
  <si>
    <t xml:space="preserve">EMP0178</t>
  </si>
  <si>
    <t xml:space="preserve">Emeka Uche</t>
  </si>
  <si>
    <t xml:space="preserve">2020-05-10</t>
  </si>
  <si>
    <t xml:space="preserve">emeka.uche@company.com</t>
  </si>
  <si>
    <t xml:space="preserve">EMP0321</t>
  </si>
  <si>
    <t xml:space="preserve">grace duru</t>
  </si>
  <si>
    <t xml:space="preserve">28-Oct-2018</t>
  </si>
  <si>
    <t xml:space="preserve">grace.duru@company.com</t>
  </si>
  <si>
    <t xml:space="preserve">EMP0108</t>
  </si>
  <si>
    <t xml:space="preserve">James Bello</t>
  </si>
  <si>
    <t xml:space="preserve">30-Jul-2019</t>
  </si>
  <si>
    <t xml:space="preserve">james.bello@company.com</t>
  </si>
  <si>
    <t xml:space="preserve">EMP0183</t>
  </si>
  <si>
    <t xml:space="preserve">Gabriel Nwosu</t>
  </si>
  <si>
    <t xml:space="preserve">10/01/2023</t>
  </si>
  <si>
    <t xml:space="preserve">gabriel.nwosu@company.com</t>
  </si>
  <si>
    <t xml:space="preserve">EMP0398</t>
  </si>
  <si>
    <t xml:space="preserve">RUTH ABUBAKAR</t>
  </si>
  <si>
    <t xml:space="preserve">01/04/2023</t>
  </si>
  <si>
    <t xml:space="preserve">EMP0249</t>
  </si>
  <si>
    <t xml:space="preserve">  Hauwa Sani  </t>
  </si>
  <si>
    <t xml:space="preserve">09-Sep-2020</t>
  </si>
  <si>
    <t xml:space="preserve">hauwa.sani@@company.com</t>
  </si>
  <si>
    <t xml:space="preserve">EMP0397</t>
  </si>
  <si>
    <t xml:space="preserve">tunde ajayi</t>
  </si>
  <si>
    <t xml:space="preserve">23/07/2020</t>
  </si>
  <si>
    <t xml:space="preserve">tunde.ajayi@company.com</t>
  </si>
  <si>
    <t xml:space="preserve">EMP0179</t>
  </si>
  <si>
    <t xml:space="preserve">  David Sani  </t>
  </si>
  <si>
    <t xml:space="preserve">23-Aug-2023</t>
  </si>
  <si>
    <t xml:space="preserve">EMP0372</t>
  </si>
  <si>
    <t xml:space="preserve">Ruth Uche</t>
  </si>
  <si>
    <t xml:space="preserve">11-Oct-2023</t>
  </si>
  <si>
    <t xml:space="preserve">ruth.uche@company.com</t>
  </si>
  <si>
    <t xml:space="preserve">EMP0237</t>
  </si>
  <si>
    <t xml:space="preserve">  Kemi Nwosu  </t>
  </si>
  <si>
    <t xml:space="preserve">2025-05-12</t>
  </si>
  <si>
    <t xml:space="preserve">kemi.nwosu@company.com</t>
  </si>
  <si>
    <t xml:space="preserve">EMP0189</t>
  </si>
  <si>
    <t xml:space="preserve">aisha umeh</t>
  </si>
  <si>
    <t xml:space="preserve">2022-04-01</t>
  </si>
  <si>
    <t xml:space="preserve">aisha.umeh@company.com</t>
  </si>
  <si>
    <t xml:space="preserve">EMP0315</t>
  </si>
  <si>
    <t xml:space="preserve">samuel ajayi</t>
  </si>
  <si>
    <t xml:space="preserve">31-Dec-2024</t>
  </si>
  <si>
    <t xml:space="preserve">samuel.ajayi@company.com</t>
  </si>
  <si>
    <t xml:space="preserve">EMP0112</t>
  </si>
  <si>
    <t xml:space="preserve">gabriel eze</t>
  </si>
  <si>
    <t xml:space="preserve">10-Jan-2020</t>
  </si>
  <si>
    <t xml:space="preserve">gabriel.eze@company.com</t>
  </si>
  <si>
    <t xml:space="preserve">EMP0049</t>
  </si>
  <si>
    <t xml:space="preserve">Fatima Adeyemi</t>
  </si>
  <si>
    <t xml:space="preserve">13/01/2023</t>
  </si>
  <si>
    <t xml:space="preserve">fatima.adeyemi@company.com</t>
  </si>
  <si>
    <t xml:space="preserve">EMP0115</t>
  </si>
  <si>
    <t xml:space="preserve">07-Jun-2019</t>
  </si>
  <si>
    <t xml:space="preserve">EMP0024</t>
  </si>
  <si>
    <t xml:space="preserve">  Victor Yakubu  </t>
  </si>
  <si>
    <t xml:space="preserve">2021-10-21</t>
  </si>
  <si>
    <t xml:space="preserve">victor.yakubu @company.com</t>
  </si>
  <si>
    <t xml:space="preserve">EMP0203</t>
  </si>
  <si>
    <t xml:space="preserve">james eze</t>
  </si>
  <si>
    <t xml:space="preserve">25-Jan-2022</t>
  </si>
  <si>
    <t xml:space="preserve">james.eze@company.com</t>
  </si>
  <si>
    <t xml:space="preserve">EMP0157</t>
  </si>
  <si>
    <t xml:space="preserve">ahmed chukwu</t>
  </si>
  <si>
    <t xml:space="preserve">2025-04-09</t>
  </si>
  <si>
    <t xml:space="preserve">EMP0380</t>
  </si>
  <si>
    <t xml:space="preserve">PETER OBI</t>
  </si>
  <si>
    <t xml:space="preserve">11-Nov-2019</t>
  </si>
  <si>
    <t xml:space="preserve">peter.obi@company.com</t>
  </si>
  <si>
    <t xml:space="preserve">EMP0127</t>
  </si>
  <si>
    <t xml:space="preserve">JOHN ABUBAKAR</t>
  </si>
  <si>
    <t xml:space="preserve">2020-08-11</t>
  </si>
  <si>
    <t xml:space="preserve">EMP0262</t>
  </si>
  <si>
    <t xml:space="preserve">EMMANUEL ADEYEMI</t>
  </si>
  <si>
    <t xml:space="preserve">22-Aug-2018</t>
  </si>
  <si>
    <t xml:space="preserve">EMP0139</t>
  </si>
  <si>
    <t xml:space="preserve">Grace Okonkwo</t>
  </si>
  <si>
    <t xml:space="preserve">2023-11-27</t>
  </si>
  <si>
    <t xml:space="preserve">grace.okonkwo@company.com</t>
  </si>
  <si>
    <t xml:space="preserve">EMP0313</t>
  </si>
  <si>
    <t xml:space="preserve">joy balogun</t>
  </si>
  <si>
    <t xml:space="preserve">2018-10-16</t>
  </si>
  <si>
    <t xml:space="preserve">joy.balogun@company.com</t>
  </si>
  <si>
    <t xml:space="preserve">EMP0317</t>
  </si>
  <si>
    <t xml:space="preserve">ESTHER YAKUBU</t>
  </si>
  <si>
    <t xml:space="preserve">09/04/2019</t>
  </si>
  <si>
    <t xml:space="preserve">esther.yakubu @company.com</t>
  </si>
  <si>
    <t xml:space="preserve">EMP0101</t>
  </si>
  <si>
    <t xml:space="preserve">AISHA AJAYI</t>
  </si>
  <si>
    <t xml:space="preserve">2022-11-07</t>
  </si>
  <si>
    <t xml:space="preserve">aisha.ajayi@company.com</t>
  </si>
  <si>
    <t xml:space="preserve">EMP0234</t>
  </si>
  <si>
    <t xml:space="preserve">CHIDI ABUBAKAR</t>
  </si>
  <si>
    <t xml:space="preserve">27/05/2024</t>
  </si>
  <si>
    <t xml:space="preserve">EMP0367</t>
  </si>
  <si>
    <t xml:space="preserve">ifeoma nnamdi</t>
  </si>
  <si>
    <t xml:space="preserve">26/04/2023</t>
  </si>
  <si>
    <t xml:space="preserve">EMP0238</t>
  </si>
  <si>
    <t xml:space="preserve">Bisi Umeh</t>
  </si>
  <si>
    <t xml:space="preserve">2018-05-25</t>
  </si>
  <si>
    <t xml:space="preserve">YUSUF ADEYEMI</t>
  </si>
  <si>
    <t xml:space="preserve">EMP0196</t>
  </si>
  <si>
    <t xml:space="preserve">Tunde Chukwu</t>
  </si>
  <si>
    <t xml:space="preserve">2020-09-07</t>
  </si>
  <si>
    <t xml:space="preserve">tunde.chukwu@company</t>
  </si>
  <si>
    <t xml:space="preserve">EMP0074</t>
  </si>
  <si>
    <t xml:space="preserve">  Aisha Eze  </t>
  </si>
  <si>
    <t xml:space="preserve">2023-08-25</t>
  </si>
  <si>
    <t xml:space="preserve">aisha.eze@company.com</t>
  </si>
  <si>
    <t xml:space="preserve">EMP0384</t>
  </si>
  <si>
    <t xml:space="preserve">Samuel Nwosu</t>
  </si>
  <si>
    <t xml:space="preserve">04/06/2019</t>
  </si>
  <si>
    <t xml:space="preserve">samuel.nwosucompany.com</t>
  </si>
  <si>
    <t xml:space="preserve">EMP0283</t>
  </si>
  <si>
    <t xml:space="preserve">Chiamaka Okafor</t>
  </si>
  <si>
    <t xml:space="preserve">08-Jun-2023</t>
  </si>
  <si>
    <t xml:space="preserve">chiamaka.okafor@company.com</t>
  </si>
  <si>
    <t xml:space="preserve">EMP0047</t>
  </si>
  <si>
    <t xml:space="preserve">  Ruth Chukwu  </t>
  </si>
  <si>
    <t xml:space="preserve">2022-04-18</t>
  </si>
  <si>
    <t xml:space="preserve">ruth.chukwu@company.com</t>
  </si>
  <si>
    <t xml:space="preserve">EMP0158</t>
  </si>
  <si>
    <t xml:space="preserve">Peter Balogun</t>
  </si>
  <si>
    <t xml:space="preserve">19-Aug-2021</t>
  </si>
  <si>
    <t xml:space="preserve">peter.balogun@company.com</t>
  </si>
  <si>
    <t xml:space="preserve">EMP0117</t>
  </si>
  <si>
    <t xml:space="preserve">Peter Ogundipe</t>
  </si>
  <si>
    <t xml:space="preserve">peter.ogundipe@company.com</t>
  </si>
  <si>
    <t xml:space="preserve">EMP0147</t>
  </si>
  <si>
    <t xml:space="preserve">grace abubakar</t>
  </si>
  <si>
    <t xml:space="preserve">2022-01-27</t>
  </si>
  <si>
    <t xml:space="preserve">EMP0395</t>
  </si>
  <si>
    <t xml:space="preserve">Grace Abubakar</t>
  </si>
  <si>
    <t xml:space="preserve">2021-08-08</t>
  </si>
  <si>
    <t xml:space="preserve">EMP0003</t>
  </si>
  <si>
    <t xml:space="preserve">Peter Adamu</t>
  </si>
  <si>
    <t xml:space="preserve">27-Feb-2019</t>
  </si>
  <si>
    <t xml:space="preserve">EMP0284</t>
  </si>
  <si>
    <t xml:space="preserve">AMAKA UCHE</t>
  </si>
  <si>
    <t xml:space="preserve">04-Oct-2018</t>
  </si>
  <si>
    <t xml:space="preserve">amaka.uche@company.com</t>
  </si>
  <si>
    <t xml:space="preserve">EMP0144</t>
  </si>
  <si>
    <t xml:space="preserve">FATIMA DURU</t>
  </si>
  <si>
    <t xml:space="preserve">2021-07-01</t>
  </si>
  <si>
    <t xml:space="preserve">fatima.duru@company.com</t>
  </si>
  <si>
    <t xml:space="preserve">EMP0332</t>
  </si>
  <si>
    <t xml:space="preserve">DANIEL ADAMU</t>
  </si>
  <si>
    <t xml:space="preserve">2024-10-10</t>
  </si>
  <si>
    <t xml:space="preserve">EMP0342</t>
  </si>
  <si>
    <t xml:space="preserve">Ngozi Abubakar</t>
  </si>
  <si>
    <t xml:space="preserve">13-Oct-2023</t>
  </si>
  <si>
    <t xml:space="preserve">ngozi.abubakarcompany.com</t>
  </si>
  <si>
    <t xml:space="preserve">EMP0105</t>
  </si>
  <si>
    <t xml:space="preserve">29/11/2023</t>
  </si>
  <si>
    <t xml:space="preserve">EMP0341</t>
  </si>
  <si>
    <t xml:space="preserve">20/02/2019</t>
  </si>
  <si>
    <t xml:space="preserve">EMP0154</t>
  </si>
  <si>
    <t xml:space="preserve">BISI DURU</t>
  </si>
  <si>
    <t xml:space="preserve">18/05/2025</t>
  </si>
  <si>
    <t xml:space="preserve">bisi.duru@company.com</t>
  </si>
  <si>
    <t xml:space="preserve">EMP0143</t>
  </si>
  <si>
    <t xml:space="preserve">09/04/2021</t>
  </si>
  <si>
    <t xml:space="preserve">tunde.chukwu@company.com</t>
  </si>
  <si>
    <t xml:space="preserve">EMP0150</t>
  </si>
  <si>
    <t xml:space="preserve">Joy Adamu</t>
  </si>
  <si>
    <t xml:space="preserve">12/11/2022</t>
  </si>
  <si>
    <t xml:space="preserve">joy.adamu@company.com</t>
  </si>
  <si>
    <t xml:space="preserve">EMP0082</t>
  </si>
  <si>
    <t xml:space="preserve">2020-04-16</t>
  </si>
  <si>
    <t xml:space="preserve">EMP0026</t>
  </si>
  <si>
    <t xml:space="preserve">Ibrahim Sani</t>
  </si>
  <si>
    <t xml:space="preserve">2020-01-21</t>
  </si>
  <si>
    <t xml:space="preserve">ibrahim.sani@company.com</t>
  </si>
  <si>
    <t xml:space="preserve">EMP0062</t>
  </si>
  <si>
    <t xml:space="preserve">Chinedu Nwosu</t>
  </si>
  <si>
    <t xml:space="preserve">2022-09-04</t>
  </si>
  <si>
    <t xml:space="preserve">chinedu.nwosu@company.com</t>
  </si>
  <si>
    <t xml:space="preserve">EMP0355</t>
  </si>
  <si>
    <t xml:space="preserve">  Samuel Lawal  </t>
  </si>
  <si>
    <t xml:space="preserve">2019-09-01</t>
  </si>
  <si>
    <t xml:space="preserve">samuel.lawal@company.com</t>
  </si>
  <si>
    <t xml:space="preserve">EMP0141</t>
  </si>
  <si>
    <t xml:space="preserve">₦174,717</t>
  </si>
  <si>
    <t xml:space="preserve">2021-10-05</t>
  </si>
  <si>
    <t xml:space="preserve">EMP0037</t>
  </si>
  <si>
    <t xml:space="preserve">YUSUF SANI</t>
  </si>
  <si>
    <t xml:space="preserve">2018-11-11</t>
  </si>
  <si>
    <t xml:space="preserve">yusuf.sani@company.com</t>
  </si>
  <si>
    <t xml:space="preserve">EMP0034</t>
  </si>
  <si>
    <t xml:space="preserve">Emmanuel Bello</t>
  </si>
  <si>
    <t xml:space="preserve">2019-09-05</t>
  </si>
  <si>
    <t xml:space="preserve">EMP0191</t>
  </si>
  <si>
    <t xml:space="preserve">james yakubu</t>
  </si>
  <si>
    <t xml:space="preserve">13/02/2020</t>
  </si>
  <si>
    <t xml:space="preserve">james.yakubu@company.com</t>
  </si>
  <si>
    <t xml:space="preserve">EMP0173</t>
  </si>
  <si>
    <t xml:space="preserve">FATIMA LAWAL</t>
  </si>
  <si>
    <t xml:space="preserve">₦405,885</t>
  </si>
  <si>
    <t xml:space="preserve">28-Apr-2018</t>
  </si>
  <si>
    <t xml:space="preserve">fatima.lawal@company.com</t>
  </si>
  <si>
    <t xml:space="preserve">EMP0068</t>
  </si>
  <si>
    <t xml:space="preserve">  Peter Adamu  </t>
  </si>
  <si>
    <t xml:space="preserve">EMP0014</t>
  </si>
  <si>
    <t xml:space="preserve">Mary Ajayi</t>
  </si>
  <si>
    <t xml:space="preserve">mary.ajayi@company.com</t>
  </si>
  <si>
    <t xml:space="preserve">EMP0174</t>
  </si>
  <si>
    <t xml:space="preserve">  David Umeh  </t>
  </si>
  <si>
    <t xml:space="preserve">01/05/2021</t>
  </si>
  <si>
    <t xml:space="preserve">david.umeh@company.com</t>
  </si>
  <si>
    <t xml:space="preserve">EMP0325</t>
  </si>
  <si>
    <t xml:space="preserve">chiamaka umeh</t>
  </si>
  <si>
    <t xml:space="preserve">2023-10-02</t>
  </si>
  <si>
    <t xml:space="preserve">chiamaka.umeh@company.com</t>
  </si>
  <si>
    <t xml:space="preserve">chiamaka abubakar</t>
  </si>
  <si>
    <t xml:space="preserve">EMP0104</t>
  </si>
  <si>
    <t xml:space="preserve">  Emmanuel Umeh  </t>
  </si>
  <si>
    <t xml:space="preserve">2024-11-19</t>
  </si>
  <si>
    <t xml:space="preserve">emmanuel.umeh@@company.com</t>
  </si>
  <si>
    <t xml:space="preserve">EMP0094</t>
  </si>
  <si>
    <t xml:space="preserve">EMMANUEL NWOSU</t>
  </si>
  <si>
    <t xml:space="preserve">2020-01-26</t>
  </si>
  <si>
    <t xml:space="preserve">emmanuel.nwosu@company.com</t>
  </si>
  <si>
    <t xml:space="preserve">EMP0123</t>
  </si>
  <si>
    <t xml:space="preserve">James Obi</t>
  </si>
  <si>
    <t xml:space="preserve">19-Jan-2021</t>
  </si>
  <si>
    <t xml:space="preserve">EMP0273</t>
  </si>
  <si>
    <t xml:space="preserve">Hauwa Sani</t>
  </si>
  <si>
    <t xml:space="preserve">13/01/2022</t>
  </si>
  <si>
    <t xml:space="preserve">EMP0233</t>
  </si>
  <si>
    <t xml:space="preserve">ibrahim balogun</t>
  </si>
  <si>
    <t xml:space="preserve">28/09/2023</t>
  </si>
  <si>
    <t xml:space="preserve">ibrahim.balogun@company.com</t>
  </si>
  <si>
    <t xml:space="preserve">EMP0045</t>
  </si>
  <si>
    <t xml:space="preserve">NGOZI YAKUBU</t>
  </si>
  <si>
    <t xml:space="preserve">22-Jul-2022</t>
  </si>
  <si>
    <t xml:space="preserve">EMP0226</t>
  </si>
  <si>
    <t xml:space="preserve">  Mary Nnamdi  </t>
  </si>
  <si>
    <t xml:space="preserve">17/11/2023</t>
  </si>
  <si>
    <t xml:space="preserve">mary.nnamdi@company.com</t>
  </si>
  <si>
    <t xml:space="preserve">EMP0118</t>
  </si>
  <si>
    <t xml:space="preserve">28/07/2021</t>
  </si>
  <si>
    <t xml:space="preserve">esther yakubu</t>
  </si>
  <si>
    <t xml:space="preserve">EMP0009</t>
  </si>
  <si>
    <t xml:space="preserve">David Bello</t>
  </si>
  <si>
    <t xml:space="preserve">10-Jun-2023</t>
  </si>
  <si>
    <t xml:space="preserve">EMP0012</t>
  </si>
  <si>
    <t xml:space="preserve">peter sani</t>
  </si>
  <si>
    <t xml:space="preserve">2023-03-24</t>
  </si>
  <si>
    <t xml:space="preserve">peter.sani@company.com</t>
  </si>
  <si>
    <t xml:space="preserve">EMP0267</t>
  </si>
  <si>
    <t xml:space="preserve">  Ola Abubakar  </t>
  </si>
  <si>
    <t xml:space="preserve">2023-08-16</t>
  </si>
  <si>
    <t xml:space="preserve">ola.abubakar@company.com</t>
  </si>
  <si>
    <t xml:space="preserve">EMP0091</t>
  </si>
  <si>
    <t xml:space="preserve">RUTH NWOSU</t>
  </si>
  <si>
    <t xml:space="preserve">30-Jan-2025</t>
  </si>
  <si>
    <t xml:space="preserve">ruth.nwosu@company.com</t>
  </si>
  <si>
    <t xml:space="preserve">EMP0036</t>
  </si>
  <si>
    <t xml:space="preserve">bisi duru</t>
  </si>
  <si>
    <t xml:space="preserve">15-Oct-2018</t>
  </si>
  <si>
    <t xml:space="preserve">bisi.duru @company.com</t>
  </si>
  <si>
    <t xml:space="preserve">EMP0137</t>
  </si>
  <si>
    <t xml:space="preserve">RUTH BELLO</t>
  </si>
  <si>
    <t xml:space="preserve">05/07/2023</t>
  </si>
  <si>
    <t xml:space="preserve">ruth.bello@company.com</t>
  </si>
  <si>
    <t xml:space="preserve">EMP0076</t>
  </si>
  <si>
    <t xml:space="preserve">ola nnamdi</t>
  </si>
  <si>
    <t xml:space="preserve">20-Nov-2024</t>
  </si>
  <si>
    <t xml:space="preserve">ola.nnamdi@company.com</t>
  </si>
  <si>
    <t xml:space="preserve">EMP0263</t>
  </si>
  <si>
    <t xml:space="preserve">Daniel Adeyemi</t>
  </si>
  <si>
    <t xml:space="preserve">15/08/2019</t>
  </si>
  <si>
    <t xml:space="preserve">EMP0304</t>
  </si>
  <si>
    <t xml:space="preserve">IBRAHIM OKONKWO</t>
  </si>
  <si>
    <t xml:space="preserve">06/04/2023</t>
  </si>
  <si>
    <t xml:space="preserve">EMP0017</t>
  </si>
  <si>
    <t xml:space="preserve">daniel abubakar</t>
  </si>
  <si>
    <t xml:space="preserve">EMP0320</t>
  </si>
  <si>
    <t xml:space="preserve">EMEKA NWOSU</t>
  </si>
  <si>
    <t xml:space="preserve">20/01/2018</t>
  </si>
  <si>
    <t xml:space="preserve">emeka.nwosu@company.com</t>
  </si>
  <si>
    <t xml:space="preserve">EMP0394</t>
  </si>
  <si>
    <t xml:space="preserve">chidi adeyemi</t>
  </si>
  <si>
    <t xml:space="preserve">15-Mar-2022</t>
  </si>
  <si>
    <t xml:space="preserve">EMP0042</t>
  </si>
  <si>
    <t xml:space="preserve">18-Feb-2018</t>
  </si>
  <si>
    <t xml:space="preserve">EMP0055</t>
  </si>
  <si>
    <t xml:space="preserve">bisi nwosu</t>
  </si>
  <si>
    <t xml:space="preserve">2020-01-25</t>
  </si>
  <si>
    <t xml:space="preserve">bisi.nwosucompany.com</t>
  </si>
  <si>
    <t xml:space="preserve">EMP0335</t>
  </si>
  <si>
    <t xml:space="preserve">JAMES EZE</t>
  </si>
  <si>
    <t xml:space="preserve">19/07/2020</t>
  </si>
  <si>
    <t xml:space="preserve">EMP0031</t>
  </si>
  <si>
    <t xml:space="preserve">Ibrahim Obi</t>
  </si>
  <si>
    <t xml:space="preserve">18/09/2024</t>
  </si>
  <si>
    <t xml:space="preserve">ibrahim.obi@company.com</t>
  </si>
  <si>
    <t xml:space="preserve">EMP0085</t>
  </si>
  <si>
    <t xml:space="preserve">  Peter Balogun  </t>
  </si>
  <si>
    <t xml:space="preserve">2018-09-19</t>
  </si>
  <si>
    <t xml:space="preserve">EMP0388</t>
  </si>
  <si>
    <t xml:space="preserve">CHIAMAKA NWOSU</t>
  </si>
  <si>
    <t xml:space="preserve">2022-03-11</t>
  </si>
  <si>
    <t xml:space="preserve">chiamaka.nwosu@company.com</t>
  </si>
  <si>
    <t xml:space="preserve">EMP0230</t>
  </si>
  <si>
    <t xml:space="preserve">  Samuel Ajayi  </t>
  </si>
  <si>
    <t xml:space="preserve">06/04/2020</t>
  </si>
  <si>
    <t xml:space="preserve">EMP0253</t>
  </si>
  <si>
    <t xml:space="preserve">MUSA AJAYI</t>
  </si>
  <si>
    <t xml:space="preserve">2018-06-04</t>
  </si>
  <si>
    <t xml:space="preserve">musa.ajayi@company.com</t>
  </si>
  <si>
    <t xml:space="preserve">EMP0187</t>
  </si>
  <si>
    <t xml:space="preserve">  Emeka Lawal  </t>
  </si>
  <si>
    <t xml:space="preserve">2019-10-08</t>
  </si>
  <si>
    <t xml:space="preserve">emeka.lawal@company.com</t>
  </si>
  <si>
    <t xml:space="preserve">EMP0065</t>
  </si>
  <si>
    <t xml:space="preserve">Comfort Chukwu</t>
  </si>
  <si>
    <t xml:space="preserve">2018-11-04</t>
  </si>
  <si>
    <t xml:space="preserve">comfort.chukwu@company.com</t>
  </si>
  <si>
    <t xml:space="preserve">EMP0291</t>
  </si>
  <si>
    <t xml:space="preserve">Tunde Ogundipe</t>
  </si>
  <si>
    <t xml:space="preserve">11-Jun-2024</t>
  </si>
  <si>
    <t xml:space="preserve">tunde.ogundipe@company.com</t>
  </si>
  <si>
    <t xml:space="preserve">EMP0164</t>
  </si>
  <si>
    <t xml:space="preserve">03-Apr-2025</t>
  </si>
  <si>
    <t xml:space="preserve">EMP0227</t>
  </si>
  <si>
    <t xml:space="preserve">  Ifeoma Adeyemi  </t>
  </si>
  <si>
    <t xml:space="preserve">2020-10-27</t>
  </si>
  <si>
    <t xml:space="preserve">EMP0344</t>
  </si>
  <si>
    <t xml:space="preserve">Hauwa Okonkwo</t>
  </si>
  <si>
    <t xml:space="preserve">2018-05-05</t>
  </si>
  <si>
    <t xml:space="preserve">hauwa.okonkwo@company.com</t>
  </si>
  <si>
    <t xml:space="preserve">EMP0114</t>
  </si>
  <si>
    <t xml:space="preserve">Ahmed Balogun</t>
  </si>
  <si>
    <t xml:space="preserve">2021-04-14</t>
  </si>
  <si>
    <t xml:space="preserve">ahmed.balogun@company.com</t>
  </si>
  <si>
    <t xml:space="preserve">EMP0293</t>
  </si>
  <si>
    <t xml:space="preserve">comfort obi</t>
  </si>
  <si>
    <t xml:space="preserve">17-Aug-2022</t>
  </si>
  <si>
    <t xml:space="preserve">EMP0382</t>
  </si>
  <si>
    <t xml:space="preserve">daniel duru</t>
  </si>
  <si>
    <t xml:space="preserve">06-Jan-2024</t>
  </si>
  <si>
    <t xml:space="preserve">daniel.duru@company.com</t>
  </si>
  <si>
    <t xml:space="preserve">SAMUEL AJAYI</t>
  </si>
  <si>
    <t xml:space="preserve">EMP0103</t>
  </si>
  <si>
    <t xml:space="preserve">emeka sani</t>
  </si>
  <si>
    <t xml:space="preserve">₦617,071</t>
  </si>
  <si>
    <t xml:space="preserve">2024-06-11</t>
  </si>
  <si>
    <t xml:space="preserve">emeka.sani@company.com</t>
  </si>
  <si>
    <t xml:space="preserve">EMP0348</t>
  </si>
  <si>
    <t xml:space="preserve">Ibrahim Eze</t>
  </si>
  <si>
    <t xml:space="preserve">2024-08-12</t>
  </si>
  <si>
    <t xml:space="preserve">ibrahim.eze@company.com</t>
  </si>
  <si>
    <t xml:space="preserve">EMP0155</t>
  </si>
  <si>
    <t xml:space="preserve">PETER BALOGUN</t>
  </si>
  <si>
    <t xml:space="preserve">22/10/2023</t>
  </si>
  <si>
    <t xml:space="preserve">EMP0159</t>
  </si>
  <si>
    <t xml:space="preserve">15-Jan-2024</t>
  </si>
  <si>
    <t xml:space="preserve">EMP0386</t>
  </si>
  <si>
    <t xml:space="preserve">21/02/2025</t>
  </si>
  <si>
    <t xml:space="preserve">EMP0057</t>
  </si>
  <si>
    <t xml:space="preserve">  Tunde Adamu  </t>
  </si>
  <si>
    <t xml:space="preserve">07/11/2022</t>
  </si>
  <si>
    <t xml:space="preserve">tunde.adamu@company.com</t>
  </si>
  <si>
    <t xml:space="preserve">EMP0316</t>
  </si>
  <si>
    <t xml:space="preserve">ifeoma okonkwo</t>
  </si>
  <si>
    <t xml:space="preserve">2024-02-01</t>
  </si>
  <si>
    <t xml:space="preserve">ifeoma.okonkwo@company.com</t>
  </si>
  <si>
    <t xml:space="preserve">VICTOR OKAFOR</t>
  </si>
  <si>
    <t xml:space="preserve">EMP0248</t>
  </si>
  <si>
    <t xml:space="preserve">Kemi Bello</t>
  </si>
  <si>
    <t xml:space="preserve">12-Jan-2021</t>
  </si>
  <si>
    <t xml:space="preserve">kemi.bello@company.com</t>
  </si>
  <si>
    <t xml:space="preserve">EMP0069</t>
  </si>
  <si>
    <t xml:space="preserve">aisha duru</t>
  </si>
  <si>
    <t xml:space="preserve">2018-01-25</t>
  </si>
  <si>
    <t xml:space="preserve">aisha.duru@company.com</t>
  </si>
  <si>
    <t xml:space="preserve">EMP0274</t>
  </si>
  <si>
    <t xml:space="preserve">daniel bello</t>
  </si>
  <si>
    <t xml:space="preserve">12-Jun-2018</t>
  </si>
  <si>
    <t xml:space="preserve">daniel.bello@company.com</t>
  </si>
  <si>
    <t xml:space="preserve">EMP0282</t>
  </si>
  <si>
    <t xml:space="preserve">Ibrahim Bello</t>
  </si>
  <si>
    <t xml:space="preserve">24/04/2018</t>
  </si>
  <si>
    <t xml:space="preserve">ibrahim.bello@company.com</t>
  </si>
  <si>
    <t xml:space="preserve">EMP0161</t>
  </si>
  <si>
    <t xml:space="preserve">peter nwosu</t>
  </si>
  <si>
    <t xml:space="preserve">12-Dec-2023</t>
  </si>
  <si>
    <t xml:space="preserve">peter.nwosu@company.com</t>
  </si>
  <si>
    <t xml:space="preserve">EMP0261</t>
  </si>
  <si>
    <t xml:space="preserve">  Hauwa Abubakar  </t>
  </si>
  <si>
    <t xml:space="preserve">2022-12-25</t>
  </si>
  <si>
    <t xml:space="preserve">hauwa.abubakar@company.com</t>
  </si>
  <si>
    <t xml:space="preserve">EMP0338</t>
  </si>
  <si>
    <t xml:space="preserve">15/04/2018</t>
  </si>
  <si>
    <t xml:space="preserve">chidi.chukwu @company.com</t>
  </si>
  <si>
    <t xml:space="preserve">EMP0088</t>
  </si>
  <si>
    <t xml:space="preserve">ngozi umeh</t>
  </si>
  <si>
    <t xml:space="preserve">18-Apr-2023</t>
  </si>
  <si>
    <t xml:space="preserve">ngozi.umeh@company.com</t>
  </si>
  <si>
    <t xml:space="preserve">EMP0314</t>
  </si>
  <si>
    <t xml:space="preserve">HAUWA UCHE</t>
  </si>
  <si>
    <t xml:space="preserve">08-Nov-2023</t>
  </si>
  <si>
    <t xml:space="preserve">hauwa.uche@company.com</t>
  </si>
  <si>
    <t xml:space="preserve">EMP0360</t>
  </si>
  <si>
    <t xml:space="preserve">John Chukwu</t>
  </si>
  <si>
    <t xml:space="preserve">03-Jul-2024</t>
  </si>
  <si>
    <t xml:space="preserve">EMP0070</t>
  </si>
  <si>
    <t xml:space="preserve">daniel obi</t>
  </si>
  <si>
    <t xml:space="preserve">31-Dec-2018</t>
  </si>
  <si>
    <t xml:space="preserve">daniel.obi@company.com</t>
  </si>
  <si>
    <t xml:space="preserve">EMP0257</t>
  </si>
  <si>
    <t xml:space="preserve">2023-05-02</t>
  </si>
  <si>
    <t xml:space="preserve">JAMES BELLO</t>
  </si>
  <si>
    <t xml:space="preserve">EMP0133</t>
  </si>
  <si>
    <t xml:space="preserve">Bisi Adamu</t>
  </si>
  <si>
    <t xml:space="preserve">17/08/2018</t>
  </si>
  <si>
    <t xml:space="preserve">bisi.adamu@company.com</t>
  </si>
  <si>
    <t xml:space="preserve">EMP0096</t>
  </si>
  <si>
    <t xml:space="preserve">Grace Chukwu</t>
  </si>
  <si>
    <t xml:space="preserve">2019-12-02</t>
  </si>
  <si>
    <t xml:space="preserve">grace.chukwu@company.com</t>
  </si>
  <si>
    <t xml:space="preserve">EMP0356</t>
  </si>
  <si>
    <t xml:space="preserve">CHINEDU OBI</t>
  </si>
  <si>
    <t xml:space="preserve">24/05/2019</t>
  </si>
  <si>
    <t xml:space="preserve">chinedu.obi@company.com</t>
  </si>
  <si>
    <t xml:space="preserve">EMP0090</t>
  </si>
  <si>
    <t xml:space="preserve">Grace Adeyemi</t>
  </si>
  <si>
    <t xml:space="preserve">27-Mar-2020</t>
  </si>
  <si>
    <t xml:space="preserve">EMP0331</t>
  </si>
  <si>
    <t xml:space="preserve">EMMANUEL LAWAL</t>
  </si>
  <si>
    <t xml:space="preserve">24/11/2019</t>
  </si>
  <si>
    <t xml:space="preserve">emmanuel.lawal@company.com</t>
  </si>
  <si>
    <t xml:space="preserve">EMP0035</t>
  </si>
  <si>
    <t xml:space="preserve">  Ibrahim Nnamdi  </t>
  </si>
  <si>
    <t xml:space="preserve">15/12/2018</t>
  </si>
  <si>
    <t xml:space="preserve">ibrahim.nnamdi@company.com</t>
  </si>
  <si>
    <t xml:space="preserve">EMP0089</t>
  </si>
  <si>
    <t xml:space="preserve">Blessing Abubakar</t>
  </si>
  <si>
    <t xml:space="preserve">15/05/2018</t>
  </si>
  <si>
    <t xml:space="preserve">blessing.abubakar@company.com</t>
  </si>
  <si>
    <t xml:space="preserve">EMP0102</t>
  </si>
  <si>
    <t xml:space="preserve">Samuel Balogun</t>
  </si>
  <si>
    <t xml:space="preserve">28-Jul-2025</t>
  </si>
  <si>
    <t xml:space="preserve">samuel.balogun @company.com</t>
  </si>
  <si>
    <t xml:space="preserve">EMP0242</t>
  </si>
  <si>
    <t xml:space="preserve">Peter Eze</t>
  </si>
  <si>
    <t xml:space="preserve">23/05/2022</t>
  </si>
  <si>
    <t xml:space="preserve">peter.eze@company.com</t>
  </si>
  <si>
    <t xml:space="preserve">EMP0280</t>
  </si>
  <si>
    <t xml:space="preserve">AISHA DURU</t>
  </si>
  <si>
    <t xml:space="preserve">2022-01-30</t>
  </si>
  <si>
    <t xml:space="preserve">EMP0255</t>
  </si>
  <si>
    <t xml:space="preserve">DANIEL UCHE</t>
  </si>
  <si>
    <t xml:space="preserve">2018-10-06</t>
  </si>
  <si>
    <t xml:space="preserve">daniel.uche@company.com</t>
  </si>
  <si>
    <t xml:space="preserve">EMP0022</t>
  </si>
  <si>
    <t xml:space="preserve">Hauwa Adamu</t>
  </si>
  <si>
    <t xml:space="preserve">10/04/2024</t>
  </si>
  <si>
    <t xml:space="preserve">hauwa.adamu@company.com</t>
  </si>
  <si>
    <t xml:space="preserve">EMP0346</t>
  </si>
  <si>
    <t xml:space="preserve">Tunde Okonkwo</t>
  </si>
  <si>
    <t xml:space="preserve">24/09/2023</t>
  </si>
  <si>
    <t xml:space="preserve">tunde.okonkwo@company.com</t>
  </si>
  <si>
    <t xml:space="preserve">EMP0206</t>
  </si>
  <si>
    <t xml:space="preserve">CHINEDU UCHE</t>
  </si>
  <si>
    <t xml:space="preserve">2018-10-05</t>
  </si>
  <si>
    <t xml:space="preserve">chinedu.uche@company.com</t>
  </si>
  <si>
    <t xml:space="preserve">EMP0350</t>
  </si>
  <si>
    <t xml:space="preserve">  Ibrahim Umeh  </t>
  </si>
  <si>
    <t xml:space="preserve">23/02/2024</t>
  </si>
  <si>
    <t xml:space="preserve">ibrahim.umeh@company.com</t>
  </si>
  <si>
    <t xml:space="preserve">EMP0165</t>
  </si>
  <si>
    <t xml:space="preserve">Ngozi Nnamdi</t>
  </si>
  <si>
    <t xml:space="preserve">2023-11-11</t>
  </si>
  <si>
    <t xml:space="preserve">ngozi.nnamdi@@company.com</t>
  </si>
  <si>
    <t xml:space="preserve">EMP0193</t>
  </si>
  <si>
    <t xml:space="preserve">Musa Nnamdi</t>
  </si>
  <si>
    <t xml:space="preserve">26-Jan-2024</t>
  </si>
  <si>
    <t xml:space="preserve">EMP0015</t>
  </si>
  <si>
    <t xml:space="preserve">  Grace Sani  </t>
  </si>
  <si>
    <t xml:space="preserve">2021-12-02</t>
  </si>
  <si>
    <t xml:space="preserve">grace.sani@company.com</t>
  </si>
  <si>
    <t xml:space="preserve">EMP0030</t>
  </si>
  <si>
    <t xml:space="preserve">hauwa eze</t>
  </si>
  <si>
    <t xml:space="preserve">2022-07-16</t>
  </si>
  <si>
    <t xml:space="preserve">hauwa.eze@company.com</t>
  </si>
  <si>
    <t xml:space="preserve">EMP0376</t>
  </si>
  <si>
    <t xml:space="preserve">GRACE ADEYEMI</t>
  </si>
  <si>
    <t xml:space="preserve">07/03/2024</t>
  </si>
  <si>
    <t xml:space="preserve">Standardization Lookup Tables</t>
  </si>
  <si>
    <t xml:space="preserve">Maps every raw variant found in the data to one standardized value</t>
  </si>
  <si>
    <t xml:space="preserve">Department (raw, upper)</t>
  </si>
  <si>
    <t xml:space="preserve">Standardized Value</t>
  </si>
  <si>
    <t xml:space="preserve">Gender (raw, upper)</t>
  </si>
  <si>
    <t xml:space="preserve">Status (raw, upper)</t>
  </si>
  <si>
    <t xml:space="preserve">SALE</t>
  </si>
  <si>
    <t xml:space="preserve">ACT.</t>
  </si>
  <si>
    <t xml:space="preserve">FIN.</t>
  </si>
  <si>
    <t xml:space="preserve">TERMINATED</t>
  </si>
  <si>
    <t xml:space="preserve">FINANACE</t>
  </si>
  <si>
    <t xml:space="preserve">LEFT</t>
  </si>
  <si>
    <t xml:space="preserve">OPS</t>
  </si>
  <si>
    <t xml:space="preserve">OPPERATIONS</t>
  </si>
  <si>
    <t xml:space="preserve">HUMAN RESOURCES</t>
  </si>
  <si>
    <t xml:space="preserve">INFOTECH</t>
  </si>
  <si>
    <t xml:space="preserve">MARKETTING</t>
  </si>
  <si>
    <t xml:space="preserve">CUSTOMER SERVICE</t>
  </si>
  <si>
    <t xml:space="preserve">CUST. SERVICE</t>
  </si>
  <si>
    <t xml:space="preserve">Employee Records — Cleaned &amp; Validated (After)</t>
  </si>
  <si>
    <t xml:space="preserve">Every value is a live formula pulling from Raw_Data and the standardization lookup tables</t>
  </si>
  <si>
    <t xml:space="preserve">Clean Name</t>
  </si>
  <si>
    <t xml:space="preserve">Clean Department</t>
  </si>
  <si>
    <t xml:space="preserve">Clean Gender</t>
  </si>
  <si>
    <t xml:space="preserve">Age Valid?</t>
  </si>
  <si>
    <t xml:space="preserve">Clean Salary</t>
  </si>
  <si>
    <t xml:space="preserve">Salary Valid?</t>
  </si>
  <si>
    <t xml:space="preserve">Clean Hire Date</t>
  </si>
  <si>
    <t xml:space="preserve">Date Valid?</t>
  </si>
  <si>
    <t xml:space="preserve">Email Valid?</t>
  </si>
  <si>
    <t xml:space="preserve">Clean Status</t>
  </si>
  <si>
    <t xml:space="preserve">Duplicate Record?</t>
  </si>
  <si>
    <t xml:space="preserve">Overall Status</t>
  </si>
  <si>
    <t xml:space="preserve">Before / After Data Quality Summary</t>
  </si>
  <si>
    <t xml:space="preserve">Quantified impact of the cleaning process</t>
  </si>
  <si>
    <t xml:space="preserve">Metric</t>
  </si>
  <si>
    <t xml:space="preserve">Value</t>
  </si>
  <si>
    <t xml:space="preserve">Total records</t>
  </si>
  <si>
    <t xml:space="preserve">Records needing review (after cleaning)</t>
  </si>
  <si>
    <t xml:space="preserve">Clean, ready-to-use records</t>
  </si>
  <si>
    <t xml:space="preserve">Data quality rate (%)</t>
  </si>
  <si>
    <t xml:space="preserve">Duplicate records found</t>
  </si>
  <si>
    <t xml:space="preserve">Invalid / missing ages</t>
  </si>
  <si>
    <t xml:space="preserve">Invalid / missing salaries</t>
  </si>
  <si>
    <t xml:space="preserve">Invalid / unparseable hire dates</t>
  </si>
  <si>
    <t xml:space="preserve">Invalid email addresses</t>
  </si>
  <si>
    <t xml:space="preserve">Department/Gender/Status values standardized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</si>
</sst>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n">
        <v>38</v>
      </c>
      <c r="F5" s="4" t="n">
        <v>-784644</v>
      </c>
      <c r="G5" s="4" t="s">
        <v>15</v>
      </c>
      <c r="H5" s="4" t="s">
        <v>16</v>
      </c>
      <c r="I5" s="4" t="s">
        <v>17</v>
      </c>
    </row>
    <row r="6" customFormat="false" ht="1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n">
        <v>53</v>
      </c>
      <c r="F6" s="4" t="n">
        <v>235107</v>
      </c>
      <c r="G6" s="4" t="s">
        <v>22</v>
      </c>
      <c r="H6" s="4" t="s">
        <v>23</v>
      </c>
      <c r="I6" s="4" t="s">
        <v>24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n">
        <v>56</v>
      </c>
      <c r="F7" s="4" t="n">
        <v>204175</v>
      </c>
      <c r="G7" s="4" t="s">
        <v>29</v>
      </c>
      <c r="H7" s="4" t="s">
        <v>30</v>
      </c>
      <c r="I7" s="4" t="s">
        <v>31</v>
      </c>
    </row>
    <row r="8" customFormat="false" ht="15" hidden="false" customHeight="false" outlineLevel="0" collapsed="false">
      <c r="A8" s="4" t="s">
        <v>32</v>
      </c>
      <c r="B8" s="4" t="s">
        <v>33</v>
      </c>
      <c r="C8" s="4" t="s">
        <v>34</v>
      </c>
      <c r="D8" s="4" t="s">
        <v>28</v>
      </c>
      <c r="E8" s="4" t="n">
        <v>36</v>
      </c>
      <c r="F8" s="4" t="n">
        <v>175121</v>
      </c>
      <c r="G8" s="4" t="s">
        <v>35</v>
      </c>
      <c r="H8" s="4" t="s">
        <v>36</v>
      </c>
      <c r="I8" s="4" t="s">
        <v>37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s">
        <v>40</v>
      </c>
      <c r="D9" s="4" t="s">
        <v>41</v>
      </c>
      <c r="E9" s="4" t="n">
        <v>41</v>
      </c>
      <c r="F9" s="4" t="n">
        <v>886603</v>
      </c>
      <c r="G9" s="4" t="s">
        <v>42</v>
      </c>
      <c r="H9" s="4" t="s">
        <v>43</v>
      </c>
      <c r="I9" s="4" t="s">
        <v>44</v>
      </c>
    </row>
    <row r="10" customFormat="false" ht="15" hidden="false" customHeight="fals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4" t="n">
        <v>50</v>
      </c>
      <c r="F10" s="4" t="n">
        <v>332625</v>
      </c>
      <c r="G10" s="4" t="s">
        <v>49</v>
      </c>
      <c r="H10" s="4" t="s">
        <v>50</v>
      </c>
      <c r="I10" s="4" t="s">
        <v>31</v>
      </c>
    </row>
    <row r="11" customFormat="false" ht="15" hidden="false" customHeight="false" outlineLevel="0" collapsed="false">
      <c r="A11" s="4" t="s">
        <v>51</v>
      </c>
      <c r="B11" s="4" t="s">
        <v>52</v>
      </c>
      <c r="C11" s="4" t="s">
        <v>53</v>
      </c>
      <c r="D11" s="4" t="s">
        <v>54</v>
      </c>
      <c r="E11" s="4" t="n">
        <v>36</v>
      </c>
      <c r="F11" s="4" t="n">
        <v>424011</v>
      </c>
      <c r="G11" s="4" t="s">
        <v>55</v>
      </c>
      <c r="H11" s="4" t="s">
        <v>56</v>
      </c>
      <c r="I11" s="4" t="s">
        <v>57</v>
      </c>
    </row>
    <row r="12" customFormat="false" ht="15" hidden="false" customHeight="false" outlineLevel="0" collapsed="false">
      <c r="A12" s="4" t="s">
        <v>58</v>
      </c>
      <c r="B12" s="4" t="s">
        <v>59</v>
      </c>
      <c r="C12" s="4" t="s">
        <v>60</v>
      </c>
      <c r="D12" s="4" t="s">
        <v>28</v>
      </c>
      <c r="E12" s="4" t="n">
        <v>40</v>
      </c>
      <c r="F12" s="4" t="n">
        <v>138360</v>
      </c>
      <c r="G12" s="4" t="s">
        <v>61</v>
      </c>
      <c r="H12" s="4" t="s">
        <v>62</v>
      </c>
      <c r="I12" s="4" t="s">
        <v>44</v>
      </c>
    </row>
    <row r="13" customFormat="false" ht="15" hidden="false" customHeight="false" outlineLevel="0" collapsed="false">
      <c r="A13" s="4" t="s">
        <v>63</v>
      </c>
      <c r="B13" s="4" t="s">
        <v>64</v>
      </c>
      <c r="C13" s="4" t="s">
        <v>20</v>
      </c>
      <c r="D13" s="4" t="s">
        <v>48</v>
      </c>
      <c r="E13" s="4" t="n">
        <v>57</v>
      </c>
      <c r="F13" s="4" t="n">
        <v>94473</v>
      </c>
      <c r="G13" s="4" t="s">
        <v>65</v>
      </c>
      <c r="H13" s="4" t="s">
        <v>66</v>
      </c>
      <c r="I13" s="4" t="s">
        <v>31</v>
      </c>
    </row>
    <row r="14" customFormat="false" ht="15" hidden="false" customHeight="false" outlineLevel="0" collapsed="false">
      <c r="A14" s="4" t="s">
        <v>67</v>
      </c>
      <c r="B14" s="4" t="s">
        <v>68</v>
      </c>
      <c r="C14" s="4" t="s">
        <v>40</v>
      </c>
      <c r="D14" s="4" t="s">
        <v>69</v>
      </c>
      <c r="E14" s="4" t="n">
        <v>49</v>
      </c>
      <c r="F14" s="4" t="n">
        <v>50265600</v>
      </c>
      <c r="G14" s="4" t="s">
        <v>70</v>
      </c>
      <c r="H14" s="4" t="s">
        <v>71</v>
      </c>
      <c r="I14" s="4" t="s">
        <v>24</v>
      </c>
    </row>
    <row r="15" customFormat="false" ht="15" hidden="false" customHeight="false" outlineLevel="0" collapsed="false">
      <c r="A15" s="4" t="s">
        <v>72</v>
      </c>
      <c r="B15" s="4" t="s">
        <v>73</v>
      </c>
      <c r="C15" s="4" t="s">
        <v>74</v>
      </c>
      <c r="D15" s="4" t="s">
        <v>28</v>
      </c>
      <c r="E15" s="4" t="n">
        <v>59</v>
      </c>
      <c r="F15" s="4" t="n">
        <v>196419</v>
      </c>
      <c r="G15" s="4" t="s">
        <v>75</v>
      </c>
      <c r="H15" s="4" t="s">
        <v>76</v>
      </c>
      <c r="I15" s="4" t="s">
        <v>17</v>
      </c>
    </row>
    <row r="16" customFormat="false" ht="15" hidden="false" customHeight="false" outlineLevel="0" collapsed="false">
      <c r="A16" s="4" t="s">
        <v>77</v>
      </c>
      <c r="B16" s="4" t="s">
        <v>78</v>
      </c>
      <c r="C16" s="4" t="s">
        <v>34</v>
      </c>
      <c r="D16" s="4" t="s">
        <v>21</v>
      </c>
      <c r="E16" s="4" t="n">
        <v>49</v>
      </c>
      <c r="F16" s="4" t="n">
        <v>271152</v>
      </c>
      <c r="G16" s="4" t="s">
        <v>79</v>
      </c>
      <c r="H16" s="4" t="s">
        <v>80</v>
      </c>
      <c r="I16" s="4" t="s">
        <v>17</v>
      </c>
    </row>
    <row r="17" customFormat="false" ht="15" hidden="false" customHeight="false" outlineLevel="0" collapsed="false">
      <c r="A17" s="4" t="s">
        <v>81</v>
      </c>
      <c r="B17" s="4" t="s">
        <v>82</v>
      </c>
      <c r="C17" s="4" t="s">
        <v>83</v>
      </c>
      <c r="D17" s="4" t="s">
        <v>84</v>
      </c>
      <c r="E17" s="4" t="n">
        <v>48</v>
      </c>
      <c r="F17" s="4" t="n">
        <v>284268</v>
      </c>
      <c r="G17" s="4" t="s">
        <v>85</v>
      </c>
      <c r="H17" s="4" t="s">
        <v>86</v>
      </c>
      <c r="I17" s="4" t="s">
        <v>31</v>
      </c>
    </row>
    <row r="18" customFormat="false" ht="15" hidden="false" customHeight="false" outlineLevel="0" collapsed="false">
      <c r="A18" s="4" t="s">
        <v>87</v>
      </c>
      <c r="B18" s="4" t="s">
        <v>88</v>
      </c>
      <c r="C18" s="4" t="s">
        <v>89</v>
      </c>
      <c r="D18" s="4" t="s">
        <v>14</v>
      </c>
      <c r="E18" s="4" t="n">
        <v>31</v>
      </c>
      <c r="F18" s="4" t="n">
        <v>900447</v>
      </c>
      <c r="G18" s="4" t="s">
        <v>90</v>
      </c>
      <c r="H18" s="4" t="s">
        <v>91</v>
      </c>
      <c r="I18" s="4" t="s">
        <v>31</v>
      </c>
    </row>
    <row r="19" customFormat="false" ht="15" hidden="false" customHeight="false" outlineLevel="0" collapsed="false">
      <c r="A19" s="4" t="s">
        <v>92</v>
      </c>
      <c r="B19" s="4" t="s">
        <v>93</v>
      </c>
      <c r="C19" s="4" t="s">
        <v>94</v>
      </c>
      <c r="D19" s="4" t="s">
        <v>69</v>
      </c>
      <c r="E19" s="4" t="n">
        <v>54</v>
      </c>
      <c r="F19" s="4" t="n">
        <v>537962</v>
      </c>
      <c r="G19" s="4" t="s">
        <v>95</v>
      </c>
      <c r="H19" s="4" t="s">
        <v>96</v>
      </c>
      <c r="I19" s="4" t="s">
        <v>31</v>
      </c>
    </row>
    <row r="20" customFormat="false" ht="15" hidden="false" customHeight="false" outlineLevel="0" collapsed="false">
      <c r="A20" s="4" t="s">
        <v>97</v>
      </c>
      <c r="B20" s="4" t="s">
        <v>98</v>
      </c>
      <c r="C20" s="4" t="s">
        <v>99</v>
      </c>
      <c r="D20" s="4" t="s">
        <v>54</v>
      </c>
      <c r="E20" s="4"/>
      <c r="F20" s="4" t="n">
        <v>431814</v>
      </c>
      <c r="G20" s="4" t="s">
        <v>100</v>
      </c>
      <c r="H20" s="4" t="s">
        <v>101</v>
      </c>
      <c r="I20" s="4" t="s">
        <v>57</v>
      </c>
    </row>
    <row r="21" customFormat="false" ht="15" hidden="false" customHeight="false" outlineLevel="0" collapsed="false">
      <c r="A21" s="4" t="s">
        <v>102</v>
      </c>
      <c r="B21" s="4" t="s">
        <v>103</v>
      </c>
      <c r="C21" s="4" t="s">
        <v>83</v>
      </c>
      <c r="D21" s="4" t="s">
        <v>104</v>
      </c>
      <c r="E21" s="4" t="n">
        <v>28</v>
      </c>
      <c r="F21" s="4" t="n">
        <v>312007</v>
      </c>
      <c r="G21" s="4" t="s">
        <v>105</v>
      </c>
      <c r="H21" s="4" t="s">
        <v>106</v>
      </c>
      <c r="I21" s="4" t="s">
        <v>17</v>
      </c>
    </row>
    <row r="22" customFormat="false" ht="15" hidden="false" customHeight="false" outlineLevel="0" collapsed="false">
      <c r="A22" s="4" t="s">
        <v>107</v>
      </c>
      <c r="B22" s="4" t="s">
        <v>19</v>
      </c>
      <c r="C22" s="4" t="s">
        <v>108</v>
      </c>
      <c r="D22" s="4" t="s">
        <v>54</v>
      </c>
      <c r="E22" s="4" t="n">
        <v>36</v>
      </c>
      <c r="F22" s="4" t="n">
        <v>945657</v>
      </c>
      <c r="G22" s="4" t="s">
        <v>109</v>
      </c>
      <c r="H22" s="4" t="s">
        <v>23</v>
      </c>
      <c r="I22" s="4" t="s">
        <v>44</v>
      </c>
    </row>
    <row r="23" customFormat="false" ht="15" hidden="false" customHeight="false" outlineLevel="0" collapsed="false">
      <c r="A23" s="4" t="s">
        <v>110</v>
      </c>
      <c r="B23" s="4" t="s">
        <v>111</v>
      </c>
      <c r="C23" s="4" t="s">
        <v>27</v>
      </c>
      <c r="D23" s="4" t="s">
        <v>21</v>
      </c>
      <c r="E23" s="4" t="n">
        <v>51</v>
      </c>
      <c r="F23" s="4" t="n">
        <v>900939</v>
      </c>
      <c r="G23" s="4" t="s">
        <v>112</v>
      </c>
      <c r="H23" s="4" t="s">
        <v>113</v>
      </c>
      <c r="I23" s="4" t="s">
        <v>31</v>
      </c>
    </row>
    <row r="24" customFormat="false" ht="15" hidden="false" customHeight="false" outlineLevel="0" collapsed="false">
      <c r="A24" s="4" t="s">
        <v>114</v>
      </c>
      <c r="B24" s="4" t="s">
        <v>115</v>
      </c>
      <c r="C24" s="4" t="s">
        <v>89</v>
      </c>
      <c r="D24" s="4" t="s">
        <v>84</v>
      </c>
      <c r="E24" s="4" t="n">
        <v>24</v>
      </c>
      <c r="F24" s="4" t="n">
        <v>297468</v>
      </c>
      <c r="G24" s="4" t="s">
        <v>116</v>
      </c>
      <c r="H24" s="4" t="s">
        <v>117</v>
      </c>
      <c r="I24" s="4" t="s">
        <v>118</v>
      </c>
    </row>
    <row r="25" customFormat="false" ht="15" hidden="false" customHeight="false" outlineLevel="0" collapsed="false">
      <c r="A25" s="4" t="s">
        <v>119</v>
      </c>
      <c r="B25" s="4" t="s">
        <v>120</v>
      </c>
      <c r="C25" s="4" t="s">
        <v>83</v>
      </c>
      <c r="D25" s="4" t="s">
        <v>104</v>
      </c>
      <c r="E25" s="4" t="n">
        <v>33</v>
      </c>
      <c r="F25" s="4" t="n">
        <v>197316</v>
      </c>
      <c r="G25" s="4" t="s">
        <v>121</v>
      </c>
      <c r="H25" s="4" t="s">
        <v>122</v>
      </c>
      <c r="I25" s="4" t="s">
        <v>118</v>
      </c>
    </row>
    <row r="26" customFormat="false" ht="15" hidden="false" customHeight="false" outlineLevel="0" collapsed="false">
      <c r="A26" s="4" t="s">
        <v>123</v>
      </c>
      <c r="B26" s="4" t="s">
        <v>124</v>
      </c>
      <c r="C26" s="4" t="s">
        <v>13</v>
      </c>
      <c r="D26" s="4" t="s">
        <v>14</v>
      </c>
      <c r="E26" s="4" t="n">
        <v>47</v>
      </c>
      <c r="F26" s="4" t="n">
        <v>781149</v>
      </c>
      <c r="G26" s="4" t="s">
        <v>125</v>
      </c>
      <c r="H26" s="4" t="s">
        <v>126</v>
      </c>
      <c r="I26" s="4" t="s">
        <v>44</v>
      </c>
    </row>
    <row r="27" customFormat="false" ht="15" hidden="false" customHeight="false" outlineLevel="0" collapsed="false">
      <c r="A27" s="4" t="s">
        <v>127</v>
      </c>
      <c r="B27" s="4" t="s">
        <v>128</v>
      </c>
      <c r="C27" s="4" t="s">
        <v>129</v>
      </c>
      <c r="D27" s="4" t="s">
        <v>130</v>
      </c>
      <c r="E27" s="4" t="n">
        <v>39</v>
      </c>
      <c r="F27" s="4" t="n">
        <v>677491</v>
      </c>
      <c r="G27" s="4" t="s">
        <v>131</v>
      </c>
      <c r="H27" s="4" t="s">
        <v>132</v>
      </c>
      <c r="I27" s="4" t="s">
        <v>37</v>
      </c>
    </row>
    <row r="28" customFormat="false" ht="15" hidden="false" customHeight="false" outlineLevel="0" collapsed="false">
      <c r="A28" s="4" t="s">
        <v>133</v>
      </c>
      <c r="B28" s="4" t="s">
        <v>134</v>
      </c>
      <c r="C28" s="4" t="s">
        <v>135</v>
      </c>
      <c r="D28" s="4" t="s">
        <v>41</v>
      </c>
      <c r="E28" s="4" t="n">
        <v>29</v>
      </c>
      <c r="F28" s="4" t="n">
        <v>464749</v>
      </c>
      <c r="G28" s="4" t="s">
        <v>136</v>
      </c>
      <c r="H28" s="4" t="s">
        <v>137</v>
      </c>
      <c r="I28" s="4" t="s">
        <v>24</v>
      </c>
    </row>
    <row r="29" customFormat="false" ht="15" hidden="false" customHeight="false" outlineLevel="0" collapsed="false">
      <c r="A29" s="4" t="s">
        <v>138</v>
      </c>
      <c r="B29" s="4" t="s">
        <v>139</v>
      </c>
      <c r="C29" s="4" t="s">
        <v>140</v>
      </c>
      <c r="D29" s="4" t="s">
        <v>21</v>
      </c>
      <c r="E29" s="4" t="n">
        <v>23</v>
      </c>
      <c r="F29" s="4" t="s">
        <v>141</v>
      </c>
      <c r="G29" s="4" t="s">
        <v>142</v>
      </c>
      <c r="H29" s="4" t="s">
        <v>143</v>
      </c>
      <c r="I29" s="4" t="s">
        <v>31</v>
      </c>
    </row>
    <row r="30" customFormat="false" ht="15" hidden="false" customHeight="false" outlineLevel="0" collapsed="false">
      <c r="A30" s="4" t="s">
        <v>144</v>
      </c>
      <c r="B30" s="4" t="s">
        <v>145</v>
      </c>
      <c r="C30" s="4" t="s">
        <v>146</v>
      </c>
      <c r="D30" s="4" t="s">
        <v>84</v>
      </c>
      <c r="E30" s="4" t="n">
        <v>54</v>
      </c>
      <c r="F30" s="4" t="n">
        <v>100793</v>
      </c>
      <c r="G30" s="4" t="s">
        <v>147</v>
      </c>
      <c r="H30" s="4" t="s">
        <v>148</v>
      </c>
      <c r="I30" s="4" t="s">
        <v>24</v>
      </c>
    </row>
    <row r="31" customFormat="false" ht="15" hidden="false" customHeight="false" outlineLevel="0" collapsed="false">
      <c r="A31" s="4" t="s">
        <v>149</v>
      </c>
      <c r="B31" s="4" t="s">
        <v>150</v>
      </c>
      <c r="C31" s="4" t="s">
        <v>47</v>
      </c>
      <c r="D31" s="4" t="s">
        <v>54</v>
      </c>
      <c r="E31" s="4" t="n">
        <v>46</v>
      </c>
      <c r="F31" s="4" t="n">
        <v>910130</v>
      </c>
      <c r="G31" s="4" t="s">
        <v>151</v>
      </c>
      <c r="H31" s="4" t="s">
        <v>152</v>
      </c>
      <c r="I31" s="4" t="s">
        <v>24</v>
      </c>
    </row>
    <row r="32" customFormat="false" ht="15" hidden="false" customHeight="false" outlineLevel="0" collapsed="false">
      <c r="A32" s="4" t="s">
        <v>153</v>
      </c>
      <c r="B32" s="4" t="s">
        <v>154</v>
      </c>
      <c r="C32" s="4" t="s">
        <v>129</v>
      </c>
      <c r="D32" s="4" t="s">
        <v>54</v>
      </c>
      <c r="E32" s="4" t="n">
        <v>54</v>
      </c>
      <c r="F32" s="4" t="n">
        <v>755699</v>
      </c>
      <c r="G32" s="4" t="s">
        <v>155</v>
      </c>
      <c r="H32" s="4" t="s">
        <v>156</v>
      </c>
      <c r="I32" s="4" t="s">
        <v>44</v>
      </c>
    </row>
    <row r="33" customFormat="false" ht="15" hidden="false" customHeight="false" outlineLevel="0" collapsed="false">
      <c r="A33" s="4" t="s">
        <v>157</v>
      </c>
      <c r="B33" s="4" t="s">
        <v>158</v>
      </c>
      <c r="C33" s="4" t="s">
        <v>83</v>
      </c>
      <c r="D33" s="4" t="s">
        <v>14</v>
      </c>
      <c r="E33" s="4" t="n">
        <v>37</v>
      </c>
      <c r="F33" s="4" t="n">
        <v>119710</v>
      </c>
      <c r="G33" s="4" t="s">
        <v>159</v>
      </c>
      <c r="H33" s="4" t="s">
        <v>160</v>
      </c>
      <c r="I33" s="4" t="s">
        <v>24</v>
      </c>
    </row>
    <row r="34" customFormat="false" ht="15" hidden="false" customHeight="false" outlineLevel="0" collapsed="false">
      <c r="A34" s="4" t="s">
        <v>161</v>
      </c>
      <c r="B34" s="4" t="s">
        <v>162</v>
      </c>
      <c r="C34" s="4" t="s">
        <v>47</v>
      </c>
      <c r="D34" s="4" t="s">
        <v>14</v>
      </c>
      <c r="E34" s="4" t="n">
        <v>24</v>
      </c>
      <c r="F34" s="4" t="n">
        <v>907354</v>
      </c>
      <c r="G34" s="4" t="s">
        <v>163</v>
      </c>
      <c r="H34" s="4" t="s">
        <v>164</v>
      </c>
      <c r="I34" s="4" t="s">
        <v>31</v>
      </c>
    </row>
    <row r="35" customFormat="false" ht="15" hidden="false" customHeight="false" outlineLevel="0" collapsed="false">
      <c r="A35" s="4" t="s">
        <v>165</v>
      </c>
      <c r="B35" s="4" t="s">
        <v>166</v>
      </c>
      <c r="C35" s="4" t="s">
        <v>167</v>
      </c>
      <c r="D35" s="4" t="s">
        <v>104</v>
      </c>
      <c r="E35" s="4" t="n">
        <v>42</v>
      </c>
      <c r="F35" s="4" t="n">
        <v>639677</v>
      </c>
      <c r="G35" s="4" t="s">
        <v>168</v>
      </c>
      <c r="H35" s="4" t="s">
        <v>169</v>
      </c>
      <c r="I35" s="4" t="s">
        <v>44</v>
      </c>
    </row>
    <row r="36" customFormat="false" ht="15" hidden="false" customHeight="false" outlineLevel="0" collapsed="false">
      <c r="A36" s="4" t="s">
        <v>170</v>
      </c>
      <c r="B36" s="4" t="s">
        <v>171</v>
      </c>
      <c r="C36" s="4" t="s">
        <v>135</v>
      </c>
      <c r="D36" s="4" t="s">
        <v>21</v>
      </c>
      <c r="E36" s="4" t="n">
        <v>25</v>
      </c>
      <c r="F36" s="4" t="n">
        <v>50799700</v>
      </c>
      <c r="G36" s="4" t="s">
        <v>172</v>
      </c>
      <c r="H36" s="4" t="s">
        <v>173</v>
      </c>
      <c r="I36" s="4" t="s">
        <v>17</v>
      </c>
    </row>
    <row r="37" customFormat="false" ht="15" hidden="false" customHeight="false" outlineLevel="0" collapsed="false">
      <c r="A37" s="4" t="s">
        <v>174</v>
      </c>
      <c r="B37" s="4" t="s">
        <v>175</v>
      </c>
      <c r="C37" s="4" t="s">
        <v>40</v>
      </c>
      <c r="D37" s="4" t="s">
        <v>41</v>
      </c>
      <c r="E37" s="4"/>
      <c r="F37" s="4" t="n">
        <v>267096</v>
      </c>
      <c r="G37" s="4" t="s">
        <v>176</v>
      </c>
      <c r="H37" s="4" t="s">
        <v>177</v>
      </c>
      <c r="I37" s="4" t="s">
        <v>31</v>
      </c>
    </row>
    <row r="38" customFormat="false" ht="15" hidden="false" customHeight="false" outlineLevel="0" collapsed="false">
      <c r="A38" s="4" t="s">
        <v>178</v>
      </c>
      <c r="B38" s="4" t="s">
        <v>179</v>
      </c>
      <c r="C38" s="4" t="s">
        <v>47</v>
      </c>
      <c r="D38" s="4" t="s">
        <v>130</v>
      </c>
      <c r="E38" s="4" t="n">
        <v>55</v>
      </c>
      <c r="F38" s="4" t="s">
        <v>180</v>
      </c>
      <c r="G38" s="4" t="s">
        <v>181</v>
      </c>
      <c r="H38" s="4" t="s">
        <v>182</v>
      </c>
      <c r="I38" s="4" t="s">
        <v>31</v>
      </c>
    </row>
    <row r="39" customFormat="false" ht="15" hidden="false" customHeight="false" outlineLevel="0" collapsed="false">
      <c r="A39" s="4" t="s">
        <v>183</v>
      </c>
      <c r="B39" s="4" t="s">
        <v>184</v>
      </c>
      <c r="C39" s="4" t="s">
        <v>185</v>
      </c>
      <c r="D39" s="4" t="s">
        <v>21</v>
      </c>
      <c r="E39" s="4" t="n">
        <v>41</v>
      </c>
      <c r="F39" s="4" t="n">
        <v>318993</v>
      </c>
      <c r="G39" s="4" t="s">
        <v>186</v>
      </c>
      <c r="H39" s="4" t="s">
        <v>187</v>
      </c>
      <c r="I39" s="4" t="s">
        <v>44</v>
      </c>
    </row>
    <row r="40" customFormat="false" ht="15" hidden="false" customHeight="false" outlineLevel="0" collapsed="false">
      <c r="A40" s="4" t="s">
        <v>188</v>
      </c>
      <c r="B40" s="4" t="s">
        <v>189</v>
      </c>
      <c r="C40" s="4" t="s">
        <v>185</v>
      </c>
      <c r="D40" s="4" t="s">
        <v>21</v>
      </c>
      <c r="E40" s="4" t="n">
        <v>39</v>
      </c>
      <c r="F40" s="4" t="n">
        <v>559284</v>
      </c>
      <c r="G40" s="4" t="s">
        <v>190</v>
      </c>
      <c r="H40" s="4" t="s">
        <v>191</v>
      </c>
      <c r="I40" s="4" t="s">
        <v>31</v>
      </c>
    </row>
    <row r="41" customFormat="false" ht="15" hidden="false" customHeight="false" outlineLevel="0" collapsed="false">
      <c r="A41" s="4" t="s">
        <v>192</v>
      </c>
      <c r="B41" s="4" t="s">
        <v>193</v>
      </c>
      <c r="C41" s="4" t="s">
        <v>60</v>
      </c>
      <c r="D41" s="4" t="s">
        <v>28</v>
      </c>
      <c r="E41" s="4" t="n">
        <v>23</v>
      </c>
      <c r="F41" s="4" t="n">
        <v>586185</v>
      </c>
      <c r="G41" s="4" t="s">
        <v>194</v>
      </c>
      <c r="H41" s="4" t="s">
        <v>195</v>
      </c>
      <c r="I41" s="4" t="s">
        <v>17</v>
      </c>
    </row>
    <row r="42" customFormat="false" ht="15" hidden="false" customHeight="false" outlineLevel="0" collapsed="false">
      <c r="A42" s="4" t="s">
        <v>196</v>
      </c>
      <c r="B42" s="4" t="s">
        <v>197</v>
      </c>
      <c r="C42" s="4" t="s">
        <v>94</v>
      </c>
      <c r="D42" s="4" t="s">
        <v>54</v>
      </c>
      <c r="E42" s="4" t="n">
        <v>47</v>
      </c>
      <c r="F42" s="4" t="n">
        <v>345475</v>
      </c>
      <c r="G42" s="4" t="s">
        <v>198</v>
      </c>
      <c r="H42" s="4" t="s">
        <v>199</v>
      </c>
      <c r="I42" s="4" t="s">
        <v>17</v>
      </c>
    </row>
    <row r="43" customFormat="false" ht="15" hidden="false" customHeight="false" outlineLevel="0" collapsed="false">
      <c r="A43" s="4" t="s">
        <v>200</v>
      </c>
      <c r="B43" s="4" t="s">
        <v>201</v>
      </c>
      <c r="C43" s="4" t="s">
        <v>202</v>
      </c>
      <c r="D43" s="4" t="s">
        <v>28</v>
      </c>
      <c r="E43" s="4" t="n">
        <v>45</v>
      </c>
      <c r="F43" s="4" t="n">
        <v>596940</v>
      </c>
      <c r="G43" s="4" t="s">
        <v>203</v>
      </c>
      <c r="H43" s="4" t="s">
        <v>204</v>
      </c>
      <c r="I43" s="4" t="s">
        <v>24</v>
      </c>
    </row>
    <row r="44" customFormat="false" ht="15" hidden="false" customHeight="false" outlineLevel="0" collapsed="false">
      <c r="A44" s="4" t="s">
        <v>205</v>
      </c>
      <c r="B44" s="4" t="s">
        <v>206</v>
      </c>
      <c r="C44" s="4" t="s">
        <v>13</v>
      </c>
      <c r="D44" s="4" t="s">
        <v>84</v>
      </c>
      <c r="E44" s="4" t="n">
        <v>23</v>
      </c>
      <c r="F44" s="4" t="n">
        <v>313118</v>
      </c>
      <c r="G44" s="4" t="s">
        <v>207</v>
      </c>
      <c r="H44" s="4" t="s">
        <v>208</v>
      </c>
      <c r="I44" s="4" t="s">
        <v>24</v>
      </c>
    </row>
    <row r="45" customFormat="false" ht="15" hidden="false" customHeight="false" outlineLevel="0" collapsed="false">
      <c r="A45" s="4" t="s">
        <v>209</v>
      </c>
      <c r="B45" s="4" t="s">
        <v>210</v>
      </c>
      <c r="C45" s="4" t="s">
        <v>211</v>
      </c>
      <c r="D45" s="4" t="s">
        <v>54</v>
      </c>
      <c r="E45" s="4" t="n">
        <v>38</v>
      </c>
      <c r="F45" s="4" t="n">
        <v>820710</v>
      </c>
      <c r="G45" s="4" t="s">
        <v>212</v>
      </c>
      <c r="H45" s="4" t="s">
        <v>213</v>
      </c>
      <c r="I45" s="4" t="s">
        <v>44</v>
      </c>
    </row>
    <row r="46" customFormat="false" ht="15" hidden="false" customHeight="false" outlineLevel="0" collapsed="false">
      <c r="A46" s="4" t="s">
        <v>214</v>
      </c>
      <c r="B46" s="4" t="s">
        <v>215</v>
      </c>
      <c r="C46" s="4" t="s">
        <v>216</v>
      </c>
      <c r="D46" s="4" t="s">
        <v>69</v>
      </c>
      <c r="E46" s="4" t="n">
        <v>41</v>
      </c>
      <c r="F46" s="4" t="n">
        <v>582844</v>
      </c>
      <c r="G46" s="4" t="s">
        <v>217</v>
      </c>
      <c r="H46" s="4" t="s">
        <v>218</v>
      </c>
      <c r="I46" s="4" t="s">
        <v>44</v>
      </c>
    </row>
    <row r="47" customFormat="false" ht="15" hidden="false" customHeight="false" outlineLevel="0" collapsed="false">
      <c r="A47" s="4" t="s">
        <v>219</v>
      </c>
      <c r="B47" s="4" t="s">
        <v>93</v>
      </c>
      <c r="C47" s="4" t="s">
        <v>220</v>
      </c>
      <c r="D47" s="4" t="s">
        <v>84</v>
      </c>
      <c r="E47" s="4" t="n">
        <v>44</v>
      </c>
      <c r="F47" s="4" t="n">
        <v>437890</v>
      </c>
      <c r="G47" s="4" t="s">
        <v>221</v>
      </c>
      <c r="H47" s="4" t="s">
        <v>96</v>
      </c>
      <c r="I47" s="4" t="s">
        <v>24</v>
      </c>
    </row>
    <row r="48" customFormat="false" ht="15" hidden="false" customHeight="false" outlineLevel="0" collapsed="false">
      <c r="A48" s="4" t="s">
        <v>222</v>
      </c>
      <c r="B48" s="4" t="s">
        <v>223</v>
      </c>
      <c r="C48" s="4" t="s">
        <v>83</v>
      </c>
      <c r="D48" s="4" t="s">
        <v>28</v>
      </c>
      <c r="E48" s="4" t="n">
        <v>60</v>
      </c>
      <c r="F48" s="4" t="n">
        <v>84042000</v>
      </c>
      <c r="G48" s="4" t="s">
        <v>224</v>
      </c>
      <c r="H48" s="4" t="s">
        <v>225</v>
      </c>
      <c r="I48" s="4" t="s">
        <v>31</v>
      </c>
    </row>
    <row r="49" customFormat="false" ht="15" hidden="false" customHeight="false" outlineLevel="0" collapsed="false">
      <c r="A49" s="4" t="s">
        <v>226</v>
      </c>
      <c r="B49" s="4" t="s">
        <v>227</v>
      </c>
      <c r="C49" s="4" t="s">
        <v>185</v>
      </c>
      <c r="D49" s="4" t="s">
        <v>21</v>
      </c>
      <c r="E49" s="4" t="n">
        <v>40</v>
      </c>
      <c r="F49" s="4" t="s">
        <v>228</v>
      </c>
      <c r="G49" s="4" t="s">
        <v>229</v>
      </c>
      <c r="H49" s="4" t="s">
        <v>230</v>
      </c>
      <c r="I49" s="4" t="s">
        <v>37</v>
      </c>
    </row>
    <row r="50" customFormat="false" ht="15" hidden="false" customHeight="false" outlineLevel="0" collapsed="false">
      <c r="A50" s="4" t="s">
        <v>231</v>
      </c>
      <c r="B50" s="4" t="s">
        <v>232</v>
      </c>
      <c r="C50" s="4" t="s">
        <v>13</v>
      </c>
      <c r="D50" s="4" t="s">
        <v>21</v>
      </c>
      <c r="E50" s="4" t="n">
        <v>46</v>
      </c>
      <c r="F50" s="4" t="n">
        <v>475201</v>
      </c>
      <c r="G50" s="4" t="s">
        <v>233</v>
      </c>
      <c r="H50" s="4" t="s">
        <v>234</v>
      </c>
      <c r="I50" s="4" t="s">
        <v>17</v>
      </c>
    </row>
    <row r="51" customFormat="false" ht="15" hidden="false" customHeight="false" outlineLevel="0" collapsed="false">
      <c r="A51" s="4" t="s">
        <v>235</v>
      </c>
      <c r="B51" s="4" t="s">
        <v>236</v>
      </c>
      <c r="C51" s="4" t="s">
        <v>211</v>
      </c>
      <c r="D51" s="4" t="s">
        <v>14</v>
      </c>
      <c r="E51" s="4" t="n">
        <v>27</v>
      </c>
      <c r="F51" s="4" t="n">
        <v>148825</v>
      </c>
      <c r="G51" s="4" t="s">
        <v>237</v>
      </c>
      <c r="H51" s="4" t="s">
        <v>238</v>
      </c>
      <c r="I51" s="4" t="s">
        <v>17</v>
      </c>
    </row>
    <row r="52" customFormat="false" ht="15" hidden="false" customHeight="false" outlineLevel="0" collapsed="false">
      <c r="A52" s="4" t="s">
        <v>239</v>
      </c>
      <c r="B52" s="4" t="s">
        <v>240</v>
      </c>
      <c r="C52" s="4" t="s">
        <v>216</v>
      </c>
      <c r="D52" s="4" t="s">
        <v>48</v>
      </c>
      <c r="E52" s="4" t="n">
        <v>25</v>
      </c>
      <c r="F52" s="4" t="n">
        <v>143616</v>
      </c>
      <c r="G52" s="4" t="s">
        <v>241</v>
      </c>
      <c r="H52" s="4" t="s">
        <v>242</v>
      </c>
      <c r="I52" s="4" t="s">
        <v>31</v>
      </c>
    </row>
    <row r="53" customFormat="false" ht="15" hidden="false" customHeight="false" outlineLevel="0" collapsed="false">
      <c r="A53" s="4" t="s">
        <v>243</v>
      </c>
      <c r="B53" s="4" t="s">
        <v>128</v>
      </c>
      <c r="C53" s="4" t="s">
        <v>244</v>
      </c>
      <c r="D53" s="4" t="s">
        <v>130</v>
      </c>
      <c r="E53" s="4" t="n">
        <v>25</v>
      </c>
      <c r="F53" s="4" t="n">
        <v>710326</v>
      </c>
      <c r="G53" s="4" t="s">
        <v>245</v>
      </c>
      <c r="H53" s="4" t="s">
        <v>132</v>
      </c>
      <c r="I53" s="4" t="s">
        <v>44</v>
      </c>
    </row>
    <row r="54" customFormat="false" ht="15" hidden="false" customHeight="false" outlineLevel="0" collapsed="false">
      <c r="A54" s="4" t="s">
        <v>246</v>
      </c>
      <c r="B54" s="4" t="s">
        <v>247</v>
      </c>
      <c r="C54" s="4" t="s">
        <v>248</v>
      </c>
      <c r="D54" s="4" t="s">
        <v>14</v>
      </c>
      <c r="E54" s="4" t="n">
        <v>32</v>
      </c>
      <c r="F54" s="4" t="n">
        <v>812948</v>
      </c>
      <c r="G54" s="4" t="s">
        <v>249</v>
      </c>
      <c r="H54" s="4" t="s">
        <v>250</v>
      </c>
      <c r="I54" s="4" t="s">
        <v>24</v>
      </c>
    </row>
    <row r="55" customFormat="false" ht="15" hidden="false" customHeight="false" outlineLevel="0" collapsed="false">
      <c r="A55" s="4" t="s">
        <v>251</v>
      </c>
      <c r="B55" s="4" t="s">
        <v>252</v>
      </c>
      <c r="C55" s="4" t="s">
        <v>253</v>
      </c>
      <c r="D55" s="4" t="s">
        <v>69</v>
      </c>
      <c r="E55" s="4" t="n">
        <v>32</v>
      </c>
      <c r="F55" s="4" t="n">
        <v>323433</v>
      </c>
      <c r="G55" s="4" t="s">
        <v>254</v>
      </c>
      <c r="H55" s="4" t="s">
        <v>255</v>
      </c>
      <c r="I55" s="4" t="s">
        <v>17</v>
      </c>
    </row>
    <row r="56" customFormat="false" ht="15" hidden="false" customHeight="false" outlineLevel="0" collapsed="false">
      <c r="A56" s="4" t="s">
        <v>256</v>
      </c>
      <c r="B56" s="4" t="s">
        <v>257</v>
      </c>
      <c r="C56" s="4" t="s">
        <v>220</v>
      </c>
      <c r="D56" s="4" t="s">
        <v>130</v>
      </c>
      <c r="E56" s="4" t="n">
        <v>47</v>
      </c>
      <c r="F56" s="4" t="n">
        <v>106490</v>
      </c>
      <c r="G56" s="4" t="s">
        <v>258</v>
      </c>
      <c r="H56" s="4" t="s">
        <v>259</v>
      </c>
      <c r="I56" s="4" t="s">
        <v>44</v>
      </c>
    </row>
    <row r="57" customFormat="false" ht="15" hidden="false" customHeight="false" outlineLevel="0" collapsed="false">
      <c r="A57" s="4" t="s">
        <v>260</v>
      </c>
      <c r="B57" s="4" t="s">
        <v>261</v>
      </c>
      <c r="C57" s="4" t="s">
        <v>262</v>
      </c>
      <c r="D57" s="4" t="s">
        <v>21</v>
      </c>
      <c r="E57" s="4" t="n">
        <v>33</v>
      </c>
      <c r="F57" s="4" t="n">
        <v>670383</v>
      </c>
      <c r="G57" s="4" t="s">
        <v>263</v>
      </c>
      <c r="H57" s="4" t="s">
        <v>264</v>
      </c>
      <c r="I57" s="4" t="s">
        <v>24</v>
      </c>
    </row>
    <row r="58" customFormat="false" ht="15" hidden="false" customHeight="false" outlineLevel="0" collapsed="false">
      <c r="A58" s="4" t="s">
        <v>265</v>
      </c>
      <c r="B58" s="4" t="s">
        <v>266</v>
      </c>
      <c r="C58" s="4" t="s">
        <v>267</v>
      </c>
      <c r="D58" s="4" t="s">
        <v>28</v>
      </c>
      <c r="E58" s="4" t="n">
        <v>42</v>
      </c>
      <c r="F58" s="4" t="n">
        <v>718738</v>
      </c>
      <c r="G58" s="4" t="s">
        <v>268</v>
      </c>
      <c r="H58" s="4" t="s">
        <v>269</v>
      </c>
      <c r="I58" s="4" t="s">
        <v>118</v>
      </c>
    </row>
    <row r="59" customFormat="false" ht="15" hidden="false" customHeight="false" outlineLevel="0" collapsed="false">
      <c r="A59" s="4" t="s">
        <v>270</v>
      </c>
      <c r="B59" s="4" t="s">
        <v>271</v>
      </c>
      <c r="C59" s="4" t="s">
        <v>27</v>
      </c>
      <c r="D59" s="4" t="s">
        <v>21</v>
      </c>
      <c r="E59" s="4" t="n">
        <v>45</v>
      </c>
      <c r="F59" s="4" t="n">
        <v>341203</v>
      </c>
      <c r="G59" s="4" t="s">
        <v>272</v>
      </c>
      <c r="H59" s="4" t="s">
        <v>273</v>
      </c>
      <c r="I59" s="4" t="s">
        <v>118</v>
      </c>
    </row>
    <row r="60" customFormat="false" ht="15" hidden="false" customHeight="false" outlineLevel="0" collapsed="false">
      <c r="A60" s="4" t="s">
        <v>274</v>
      </c>
      <c r="B60" s="4" t="s">
        <v>275</v>
      </c>
      <c r="C60" s="4" t="s">
        <v>276</v>
      </c>
      <c r="D60" s="4" t="s">
        <v>48</v>
      </c>
      <c r="E60" s="4" t="n">
        <v>46</v>
      </c>
      <c r="F60" s="4" t="n">
        <v>796625</v>
      </c>
      <c r="G60" s="4" t="s">
        <v>277</v>
      </c>
      <c r="H60" s="4" t="s">
        <v>278</v>
      </c>
      <c r="I60" s="4" t="s">
        <v>44</v>
      </c>
    </row>
    <row r="61" customFormat="false" ht="15" hidden="false" customHeight="false" outlineLevel="0" collapsed="false">
      <c r="A61" s="4" t="s">
        <v>279</v>
      </c>
      <c r="B61" s="4" t="s">
        <v>280</v>
      </c>
      <c r="C61" s="4" t="s">
        <v>40</v>
      </c>
      <c r="D61" s="4" t="s">
        <v>41</v>
      </c>
      <c r="E61" s="4" t="n">
        <v>31</v>
      </c>
      <c r="F61" s="4" t="n">
        <v>238580</v>
      </c>
      <c r="G61" s="4" t="s">
        <v>281</v>
      </c>
      <c r="H61" s="4" t="s">
        <v>282</v>
      </c>
      <c r="I61" s="4" t="s">
        <v>17</v>
      </c>
    </row>
    <row r="62" customFormat="false" ht="15" hidden="false" customHeight="false" outlineLevel="0" collapsed="false">
      <c r="A62" s="4" t="s">
        <v>283</v>
      </c>
      <c r="B62" s="4" t="s">
        <v>284</v>
      </c>
      <c r="C62" s="4" t="s">
        <v>60</v>
      </c>
      <c r="D62" s="4" t="s">
        <v>14</v>
      </c>
      <c r="E62" s="4" t="n">
        <v>50</v>
      </c>
      <c r="F62" s="4" t="n">
        <v>438975</v>
      </c>
      <c r="G62" s="4" t="s">
        <v>285</v>
      </c>
      <c r="H62" s="4" t="s">
        <v>286</v>
      </c>
      <c r="I62" s="4" t="s">
        <v>17</v>
      </c>
    </row>
    <row r="63" customFormat="false" ht="15" hidden="false" customHeight="false" outlineLevel="0" collapsed="false">
      <c r="A63" s="4" t="s">
        <v>287</v>
      </c>
      <c r="B63" s="4" t="s">
        <v>288</v>
      </c>
      <c r="C63" s="4" t="s">
        <v>47</v>
      </c>
      <c r="D63" s="4" t="s">
        <v>104</v>
      </c>
      <c r="E63" s="4" t="n">
        <v>59</v>
      </c>
      <c r="F63" s="4" t="s">
        <v>289</v>
      </c>
      <c r="G63" s="4" t="s">
        <v>290</v>
      </c>
      <c r="H63" s="4" t="s">
        <v>291</v>
      </c>
      <c r="I63" s="4" t="s">
        <v>37</v>
      </c>
    </row>
    <row r="64" customFormat="false" ht="15" hidden="false" customHeight="false" outlineLevel="0" collapsed="false">
      <c r="A64" s="4" t="s">
        <v>292</v>
      </c>
      <c r="B64" s="4" t="s">
        <v>293</v>
      </c>
      <c r="C64" s="4" t="s">
        <v>253</v>
      </c>
      <c r="D64" s="4" t="s">
        <v>130</v>
      </c>
      <c r="E64" s="4" t="n">
        <v>56</v>
      </c>
      <c r="F64" s="4" t="n">
        <v>447350</v>
      </c>
      <c r="G64" s="4" t="s">
        <v>294</v>
      </c>
      <c r="H64" s="4" t="s">
        <v>295</v>
      </c>
      <c r="I64" s="4" t="s">
        <v>44</v>
      </c>
    </row>
    <row r="65" customFormat="false" ht="15" hidden="false" customHeight="false" outlineLevel="0" collapsed="false">
      <c r="A65" s="4" t="s">
        <v>296</v>
      </c>
      <c r="B65" s="4" t="s">
        <v>297</v>
      </c>
      <c r="C65" s="4" t="s">
        <v>298</v>
      </c>
      <c r="D65" s="4" t="s">
        <v>54</v>
      </c>
      <c r="E65" s="4" t="n">
        <v>35</v>
      </c>
      <c r="F65" s="4" t="n">
        <v>436577</v>
      </c>
      <c r="G65" s="4" t="s">
        <v>299</v>
      </c>
      <c r="H65" s="4" t="s">
        <v>300</v>
      </c>
      <c r="I65" s="4" t="s">
        <v>24</v>
      </c>
    </row>
    <row r="66" customFormat="false" ht="15" hidden="false" customHeight="false" outlineLevel="0" collapsed="false">
      <c r="A66" s="4" t="s">
        <v>301</v>
      </c>
      <c r="B66" s="4" t="s">
        <v>302</v>
      </c>
      <c r="C66" s="4" t="s">
        <v>248</v>
      </c>
      <c r="D66" s="4" t="s">
        <v>84</v>
      </c>
      <c r="E66" s="4" t="n">
        <v>25</v>
      </c>
      <c r="F66" s="4" t="s">
        <v>303</v>
      </c>
      <c r="G66" s="4" t="s">
        <v>304</v>
      </c>
      <c r="H66" s="4" t="s">
        <v>305</v>
      </c>
      <c r="I66" s="4" t="s">
        <v>31</v>
      </c>
    </row>
    <row r="67" customFormat="false" ht="15" hidden="false" customHeight="false" outlineLevel="0" collapsed="false">
      <c r="A67" s="4" t="s">
        <v>306</v>
      </c>
      <c r="B67" s="4" t="s">
        <v>307</v>
      </c>
      <c r="C67" s="4" t="s">
        <v>135</v>
      </c>
      <c r="D67" s="4" t="s">
        <v>130</v>
      </c>
      <c r="E67" s="4" t="n">
        <v>38</v>
      </c>
      <c r="F67" s="4" t="n">
        <v>537431</v>
      </c>
      <c r="G67" s="4" t="s">
        <v>308</v>
      </c>
      <c r="H67" s="4" t="s">
        <v>309</v>
      </c>
      <c r="I67" s="4" t="s">
        <v>44</v>
      </c>
    </row>
    <row r="68" customFormat="false" ht="15" hidden="false" customHeight="false" outlineLevel="0" collapsed="false">
      <c r="A68" s="4" t="s">
        <v>310</v>
      </c>
      <c r="B68" s="4" t="s">
        <v>311</v>
      </c>
      <c r="C68" s="4" t="s">
        <v>89</v>
      </c>
      <c r="D68" s="4" t="s">
        <v>54</v>
      </c>
      <c r="E68" s="4" t="n">
        <v>38</v>
      </c>
      <c r="F68" s="4" t="n">
        <v>263834</v>
      </c>
      <c r="G68" s="4" t="s">
        <v>312</v>
      </c>
      <c r="H68" s="4" t="s">
        <v>313</v>
      </c>
      <c r="I68" s="4" t="s">
        <v>31</v>
      </c>
    </row>
    <row r="69" customFormat="false" ht="15" hidden="false" customHeight="false" outlineLevel="0" collapsed="false">
      <c r="A69" s="4" t="s">
        <v>314</v>
      </c>
      <c r="B69" s="4" t="s">
        <v>315</v>
      </c>
      <c r="C69" s="4" t="s">
        <v>316</v>
      </c>
      <c r="D69" s="4" t="s">
        <v>41</v>
      </c>
      <c r="E69" s="4" t="n">
        <v>28</v>
      </c>
      <c r="F69" s="4" t="n">
        <v>635673</v>
      </c>
      <c r="G69" s="4" t="s">
        <v>317</v>
      </c>
      <c r="H69" s="4" t="s">
        <v>318</v>
      </c>
      <c r="I69" s="4" t="s">
        <v>17</v>
      </c>
    </row>
    <row r="70" customFormat="false" ht="15" hidden="false" customHeight="false" outlineLevel="0" collapsed="false">
      <c r="A70" s="4" t="s">
        <v>319</v>
      </c>
      <c r="B70" s="4" t="s">
        <v>320</v>
      </c>
      <c r="C70" s="4" t="s">
        <v>83</v>
      </c>
      <c r="D70" s="4" t="s">
        <v>14</v>
      </c>
      <c r="E70" s="4" t="n">
        <v>50</v>
      </c>
      <c r="F70" s="4" t="n">
        <v>774655</v>
      </c>
      <c r="G70" s="4" t="s">
        <v>321</v>
      </c>
      <c r="H70" s="4" t="s">
        <v>322</v>
      </c>
      <c r="I70" s="4" t="s">
        <v>17</v>
      </c>
    </row>
    <row r="71" customFormat="false" ht="15" hidden="false" customHeight="false" outlineLevel="0" collapsed="false">
      <c r="A71" s="4" t="s">
        <v>323</v>
      </c>
      <c r="B71" s="4" t="s">
        <v>324</v>
      </c>
      <c r="C71" s="4" t="s">
        <v>140</v>
      </c>
      <c r="D71" s="4" t="s">
        <v>84</v>
      </c>
      <c r="E71" s="4" t="n">
        <v>37</v>
      </c>
      <c r="F71" s="4" t="n">
        <v>135218</v>
      </c>
      <c r="G71" s="4" t="s">
        <v>325</v>
      </c>
      <c r="H71" s="4" t="s">
        <v>326</v>
      </c>
      <c r="I71" s="4" t="s">
        <v>24</v>
      </c>
    </row>
    <row r="72" customFormat="false" ht="15" hidden="false" customHeight="false" outlineLevel="0" collapsed="false">
      <c r="A72" s="4" t="s">
        <v>327</v>
      </c>
      <c r="B72" s="4" t="s">
        <v>328</v>
      </c>
      <c r="C72" s="4" t="s">
        <v>13</v>
      </c>
      <c r="D72" s="4" t="s">
        <v>21</v>
      </c>
      <c r="E72" s="4" t="n">
        <v>27</v>
      </c>
      <c r="F72" s="4" t="n">
        <v>291421</v>
      </c>
      <c r="G72" s="4" t="s">
        <v>329</v>
      </c>
      <c r="H72" s="4" t="s">
        <v>330</v>
      </c>
      <c r="I72" s="4" t="s">
        <v>17</v>
      </c>
    </row>
    <row r="73" customFormat="false" ht="15" hidden="false" customHeight="false" outlineLevel="0" collapsed="false">
      <c r="A73" s="4" t="s">
        <v>331</v>
      </c>
      <c r="B73" s="4" t="s">
        <v>332</v>
      </c>
      <c r="C73" s="4" t="s">
        <v>253</v>
      </c>
      <c r="D73" s="4" t="s">
        <v>69</v>
      </c>
      <c r="E73" s="4" t="n">
        <v>58</v>
      </c>
      <c r="F73" s="4" t="n">
        <v>342419</v>
      </c>
      <c r="G73" s="4" t="s">
        <v>333</v>
      </c>
      <c r="H73" s="4" t="s">
        <v>334</v>
      </c>
      <c r="I73" s="4" t="s">
        <v>44</v>
      </c>
    </row>
    <row r="74" customFormat="false" ht="15" hidden="false" customHeight="false" outlineLevel="0" collapsed="false">
      <c r="A74" s="4" t="s">
        <v>335</v>
      </c>
      <c r="B74" s="4" t="s">
        <v>336</v>
      </c>
      <c r="C74" s="4" t="s">
        <v>140</v>
      </c>
      <c r="D74" s="4" t="s">
        <v>104</v>
      </c>
      <c r="E74" s="4" t="n">
        <v>58</v>
      </c>
      <c r="F74" s="4" t="n">
        <v>215763</v>
      </c>
      <c r="G74" s="4" t="s">
        <v>337</v>
      </c>
      <c r="H74" s="4" t="s">
        <v>338</v>
      </c>
      <c r="I74" s="4" t="s">
        <v>44</v>
      </c>
    </row>
    <row r="75" customFormat="false" ht="15" hidden="false" customHeight="false" outlineLevel="0" collapsed="false">
      <c r="A75" s="4" t="s">
        <v>339</v>
      </c>
      <c r="B75" s="4" t="s">
        <v>340</v>
      </c>
      <c r="C75" s="4" t="s">
        <v>135</v>
      </c>
      <c r="D75" s="4" t="s">
        <v>14</v>
      </c>
      <c r="E75" s="4" t="n">
        <v>36</v>
      </c>
      <c r="F75" s="4" t="n">
        <v>926781</v>
      </c>
      <c r="G75" s="4" t="s">
        <v>341</v>
      </c>
      <c r="H75" s="4" t="s">
        <v>342</v>
      </c>
      <c r="I75" s="4" t="s">
        <v>44</v>
      </c>
    </row>
    <row r="76" customFormat="false" ht="15" hidden="false" customHeight="false" outlineLevel="0" collapsed="false">
      <c r="A76" s="4" t="s">
        <v>343</v>
      </c>
      <c r="B76" s="4" t="s">
        <v>344</v>
      </c>
      <c r="C76" s="4" t="s">
        <v>140</v>
      </c>
      <c r="D76" s="4" t="s">
        <v>28</v>
      </c>
      <c r="E76" s="4" t="n">
        <v>46</v>
      </c>
      <c r="F76" s="4" t="n">
        <v>522458</v>
      </c>
      <c r="G76" s="4" t="s">
        <v>345</v>
      </c>
      <c r="H76" s="4" t="s">
        <v>346</v>
      </c>
      <c r="I76" s="4" t="s">
        <v>44</v>
      </c>
    </row>
    <row r="77" customFormat="false" ht="15" hidden="false" customHeight="false" outlineLevel="0" collapsed="false">
      <c r="A77" s="4" t="s">
        <v>347</v>
      </c>
      <c r="B77" s="4" t="s">
        <v>348</v>
      </c>
      <c r="C77" s="4" t="s">
        <v>13</v>
      </c>
      <c r="D77" s="4" t="s">
        <v>84</v>
      </c>
      <c r="E77" s="4" t="n">
        <v>53</v>
      </c>
      <c r="F77" s="4" t="n">
        <v>715581</v>
      </c>
      <c r="G77" s="4" t="s">
        <v>349</v>
      </c>
      <c r="H77" s="4" t="s">
        <v>350</v>
      </c>
      <c r="I77" s="4" t="s">
        <v>31</v>
      </c>
    </row>
    <row r="78" customFormat="false" ht="15" hidden="false" customHeight="false" outlineLevel="0" collapsed="false">
      <c r="A78" s="4" t="s">
        <v>351</v>
      </c>
      <c r="B78" s="4" t="s">
        <v>352</v>
      </c>
      <c r="C78" s="4" t="s">
        <v>74</v>
      </c>
      <c r="D78" s="4" t="s">
        <v>41</v>
      </c>
      <c r="E78" s="4" t="n">
        <v>52</v>
      </c>
      <c r="F78" s="4" t="n">
        <v>535334</v>
      </c>
      <c r="G78" s="4" t="s">
        <v>353</v>
      </c>
      <c r="H78" s="4" t="s">
        <v>354</v>
      </c>
      <c r="I78" s="4" t="s">
        <v>44</v>
      </c>
    </row>
    <row r="79" customFormat="false" ht="15" hidden="false" customHeight="false" outlineLevel="0" collapsed="false">
      <c r="A79" s="4" t="s">
        <v>355</v>
      </c>
      <c r="B79" s="4" t="s">
        <v>356</v>
      </c>
      <c r="C79" s="4" t="s">
        <v>83</v>
      </c>
      <c r="D79" s="4" t="s">
        <v>54</v>
      </c>
      <c r="E79" s="4" t="n">
        <v>28</v>
      </c>
      <c r="F79" s="4" t="n">
        <v>903147</v>
      </c>
      <c r="G79" s="4" t="s">
        <v>357</v>
      </c>
      <c r="H79" s="4" t="s">
        <v>358</v>
      </c>
      <c r="I79" s="4" t="s">
        <v>359</v>
      </c>
    </row>
    <row r="80" customFormat="false" ht="15" hidden="false" customHeight="false" outlineLevel="0" collapsed="false">
      <c r="A80" s="4" t="s">
        <v>360</v>
      </c>
      <c r="B80" s="4" t="s">
        <v>361</v>
      </c>
      <c r="C80" s="4" t="s">
        <v>146</v>
      </c>
      <c r="D80" s="4" t="s">
        <v>84</v>
      </c>
      <c r="E80" s="4" t="n">
        <v>25</v>
      </c>
      <c r="F80" s="4" t="n">
        <v>64337900</v>
      </c>
      <c r="G80" s="4" t="s">
        <v>362</v>
      </c>
      <c r="H80" s="4" t="s">
        <v>363</v>
      </c>
      <c r="I80" s="4" t="s">
        <v>44</v>
      </c>
    </row>
    <row r="81" customFormat="false" ht="15" hidden="false" customHeight="false" outlineLevel="0" collapsed="false">
      <c r="A81" s="4" t="s">
        <v>364</v>
      </c>
      <c r="B81" s="4" t="s">
        <v>365</v>
      </c>
      <c r="C81" s="4" t="s">
        <v>262</v>
      </c>
      <c r="D81" s="4" t="s">
        <v>54</v>
      </c>
      <c r="E81" s="4" t="n">
        <v>35</v>
      </c>
      <c r="F81" s="4" t="n">
        <v>128845</v>
      </c>
      <c r="G81" s="4" t="s">
        <v>366</v>
      </c>
      <c r="H81" s="4" t="s">
        <v>367</v>
      </c>
      <c r="I81" s="4" t="s">
        <v>31</v>
      </c>
    </row>
    <row r="82" customFormat="false" ht="15" hidden="false" customHeight="false" outlineLevel="0" collapsed="false">
      <c r="A82" s="4" t="s">
        <v>368</v>
      </c>
      <c r="B82" s="4" t="s">
        <v>369</v>
      </c>
      <c r="C82" s="4" t="s">
        <v>47</v>
      </c>
      <c r="D82" s="4" t="s">
        <v>14</v>
      </c>
      <c r="E82" s="4" t="n">
        <v>25</v>
      </c>
      <c r="F82" s="4" t="n">
        <v>229141</v>
      </c>
      <c r="G82" s="4" t="s">
        <v>370</v>
      </c>
      <c r="H82" s="4" t="s">
        <v>371</v>
      </c>
      <c r="I82" s="4" t="s">
        <v>31</v>
      </c>
    </row>
    <row r="83" customFormat="false" ht="15" hidden="false" customHeight="false" outlineLevel="0" collapsed="false">
      <c r="A83" s="4" t="s">
        <v>372</v>
      </c>
      <c r="B83" s="4" t="s">
        <v>373</v>
      </c>
      <c r="C83" s="4" t="s">
        <v>298</v>
      </c>
      <c r="D83" s="4" t="s">
        <v>84</v>
      </c>
      <c r="E83" s="4" t="n">
        <v>48</v>
      </c>
      <c r="F83" s="4" t="n">
        <v>407172</v>
      </c>
      <c r="G83" s="4" t="s">
        <v>374</v>
      </c>
      <c r="H83" s="4" t="s">
        <v>375</v>
      </c>
      <c r="I83" s="4" t="s">
        <v>17</v>
      </c>
    </row>
    <row r="84" customFormat="false" ht="15" hidden="false" customHeight="false" outlineLevel="0" collapsed="false">
      <c r="A84" s="4" t="s">
        <v>376</v>
      </c>
      <c r="B84" s="4" t="s">
        <v>377</v>
      </c>
      <c r="C84" s="4" t="s">
        <v>140</v>
      </c>
      <c r="D84" s="4" t="s">
        <v>84</v>
      </c>
      <c r="E84" s="4" t="n">
        <v>60</v>
      </c>
      <c r="F84" s="4" t="n">
        <v>-106739</v>
      </c>
      <c r="G84" s="4" t="s">
        <v>378</v>
      </c>
      <c r="H84" s="4" t="s">
        <v>379</v>
      </c>
      <c r="I84" s="4" t="s">
        <v>17</v>
      </c>
    </row>
    <row r="85" customFormat="false" ht="15" hidden="false" customHeight="false" outlineLevel="0" collapsed="false">
      <c r="A85" s="4" t="s">
        <v>380</v>
      </c>
      <c r="B85" s="4" t="s">
        <v>381</v>
      </c>
      <c r="C85" s="4" t="s">
        <v>382</v>
      </c>
      <c r="D85" s="4" t="s">
        <v>54</v>
      </c>
      <c r="E85" s="4" t="n">
        <v>57</v>
      </c>
      <c r="F85" s="4" t="n">
        <v>116579</v>
      </c>
      <c r="G85" s="4" t="s">
        <v>383</v>
      </c>
      <c r="H85" s="4" t="s">
        <v>384</v>
      </c>
      <c r="I85" s="4" t="s">
        <v>44</v>
      </c>
    </row>
    <row r="86" customFormat="false" ht="15" hidden="false" customHeight="false" outlineLevel="0" collapsed="false">
      <c r="A86" s="4" t="s">
        <v>385</v>
      </c>
      <c r="B86" s="4" t="s">
        <v>386</v>
      </c>
      <c r="C86" s="4" t="s">
        <v>20</v>
      </c>
      <c r="D86" s="4" t="s">
        <v>41</v>
      </c>
      <c r="E86" s="4" t="n">
        <v>21</v>
      </c>
      <c r="F86" s="4" t="n">
        <v>620199</v>
      </c>
      <c r="G86" s="4" t="s">
        <v>387</v>
      </c>
      <c r="H86" s="4" t="s">
        <v>388</v>
      </c>
      <c r="I86" s="4" t="s">
        <v>389</v>
      </c>
    </row>
    <row r="87" customFormat="false" ht="15" hidden="false" customHeight="false" outlineLevel="0" collapsed="false">
      <c r="A87" s="4" t="s">
        <v>390</v>
      </c>
      <c r="B87" s="4" t="s">
        <v>391</v>
      </c>
      <c r="C87" s="4" t="s">
        <v>40</v>
      </c>
      <c r="D87" s="4" t="s">
        <v>14</v>
      </c>
      <c r="E87" s="4" t="n">
        <v>31</v>
      </c>
      <c r="F87" s="4" t="n">
        <v>449332</v>
      </c>
      <c r="G87" s="4" t="s">
        <v>392</v>
      </c>
      <c r="H87" s="4" t="s">
        <v>273</v>
      </c>
      <c r="I87" s="4" t="s">
        <v>44</v>
      </c>
    </row>
    <row r="88" customFormat="false" ht="15" hidden="false" customHeight="false" outlineLevel="0" collapsed="false">
      <c r="A88" s="4" t="s">
        <v>393</v>
      </c>
      <c r="B88" s="4" t="s">
        <v>394</v>
      </c>
      <c r="C88" s="4" t="s">
        <v>211</v>
      </c>
      <c r="D88" s="4" t="s">
        <v>130</v>
      </c>
      <c r="E88" s="4" t="n">
        <v>37</v>
      </c>
      <c r="F88" s="4" t="n">
        <v>948670</v>
      </c>
      <c r="G88" s="4" t="s">
        <v>395</v>
      </c>
      <c r="H88" s="4" t="s">
        <v>396</v>
      </c>
      <c r="I88" s="4" t="s">
        <v>24</v>
      </c>
    </row>
    <row r="89" customFormat="false" ht="15" hidden="false" customHeight="false" outlineLevel="0" collapsed="false">
      <c r="A89" s="4" t="s">
        <v>397</v>
      </c>
      <c r="B89" s="4" t="s">
        <v>398</v>
      </c>
      <c r="C89" s="4" t="s">
        <v>74</v>
      </c>
      <c r="D89" s="4" t="s">
        <v>104</v>
      </c>
      <c r="E89" s="4" t="n">
        <v>46</v>
      </c>
      <c r="F89" s="4" t="n">
        <v>203489</v>
      </c>
      <c r="G89" s="4" t="s">
        <v>399</v>
      </c>
      <c r="H89" s="4" t="s">
        <v>400</v>
      </c>
      <c r="I89" s="4" t="s">
        <v>24</v>
      </c>
    </row>
    <row r="90" customFormat="false" ht="15" hidden="false" customHeight="false" outlineLevel="0" collapsed="false">
      <c r="A90" s="4" t="s">
        <v>401</v>
      </c>
      <c r="B90" s="4" t="s">
        <v>402</v>
      </c>
      <c r="C90" s="4" t="s">
        <v>220</v>
      </c>
      <c r="D90" s="4" t="s">
        <v>28</v>
      </c>
      <c r="E90" s="4" t="n">
        <v>41</v>
      </c>
      <c r="F90" s="4" t="n">
        <v>563164</v>
      </c>
      <c r="G90" s="4" t="s">
        <v>403</v>
      </c>
      <c r="H90" s="4" t="s">
        <v>404</v>
      </c>
      <c r="I90" s="4" t="s">
        <v>44</v>
      </c>
    </row>
    <row r="91" customFormat="false" ht="15" hidden="false" customHeight="false" outlineLevel="0" collapsed="false">
      <c r="A91" s="4" t="s">
        <v>405</v>
      </c>
      <c r="B91" s="4" t="s">
        <v>406</v>
      </c>
      <c r="C91" s="4" t="s">
        <v>220</v>
      </c>
      <c r="D91" s="4" t="s">
        <v>41</v>
      </c>
      <c r="E91" s="4" t="n">
        <v>37</v>
      </c>
      <c r="F91" s="4" t="n">
        <v>-738974</v>
      </c>
      <c r="G91" s="4" t="s">
        <v>407</v>
      </c>
      <c r="H91" s="4" t="s">
        <v>408</v>
      </c>
      <c r="I91" s="4" t="s">
        <v>31</v>
      </c>
    </row>
    <row r="92" customFormat="false" ht="15" hidden="false" customHeight="false" outlineLevel="0" collapsed="false">
      <c r="A92" s="4" t="s">
        <v>409</v>
      </c>
      <c r="B92" s="4" t="s">
        <v>410</v>
      </c>
      <c r="C92" s="4" t="s">
        <v>316</v>
      </c>
      <c r="D92" s="4" t="s">
        <v>21</v>
      </c>
      <c r="E92" s="4" t="n">
        <v>38</v>
      </c>
      <c r="F92" s="4" t="n">
        <v>670578</v>
      </c>
      <c r="G92" s="4" t="s">
        <v>411</v>
      </c>
      <c r="H92" s="4" t="s">
        <v>412</v>
      </c>
      <c r="I92" s="4" t="s">
        <v>17</v>
      </c>
    </row>
    <row r="93" customFormat="false" ht="15" hidden="false" customHeight="false" outlineLevel="0" collapsed="false">
      <c r="A93" s="4" t="s">
        <v>413</v>
      </c>
      <c r="B93" s="4" t="s">
        <v>414</v>
      </c>
      <c r="C93" s="4" t="s">
        <v>99</v>
      </c>
      <c r="D93" s="4" t="s">
        <v>41</v>
      </c>
      <c r="E93" s="4" t="n">
        <v>24</v>
      </c>
      <c r="F93" s="4" t="n">
        <v>308807</v>
      </c>
      <c r="G93" s="4" t="s">
        <v>415</v>
      </c>
      <c r="H93" s="4" t="s">
        <v>416</v>
      </c>
      <c r="I93" s="4" t="s">
        <v>57</v>
      </c>
    </row>
    <row r="94" customFormat="false" ht="15" hidden="false" customHeight="false" outlineLevel="0" collapsed="false">
      <c r="A94" s="4" t="s">
        <v>417</v>
      </c>
      <c r="B94" s="4" t="s">
        <v>418</v>
      </c>
      <c r="C94" s="4" t="s">
        <v>60</v>
      </c>
      <c r="D94" s="4" t="s">
        <v>41</v>
      </c>
      <c r="E94" s="4" t="n">
        <v>29</v>
      </c>
      <c r="F94" s="4" t="n">
        <v>526667</v>
      </c>
      <c r="G94" s="4" t="s">
        <v>419</v>
      </c>
      <c r="H94" s="4" t="s">
        <v>420</v>
      </c>
      <c r="I94" s="4" t="s">
        <v>17</v>
      </c>
    </row>
    <row r="95" customFormat="false" ht="15" hidden="false" customHeight="false" outlineLevel="0" collapsed="false">
      <c r="A95" s="4" t="s">
        <v>421</v>
      </c>
      <c r="B95" s="4" t="s">
        <v>422</v>
      </c>
      <c r="C95" s="4" t="s">
        <v>140</v>
      </c>
      <c r="D95" s="4" t="s">
        <v>54</v>
      </c>
      <c r="E95" s="4" t="n">
        <v>44</v>
      </c>
      <c r="F95" s="4" t="s">
        <v>423</v>
      </c>
      <c r="G95" s="4" t="s">
        <v>424</v>
      </c>
      <c r="H95" s="4" t="s">
        <v>425</v>
      </c>
      <c r="I95" s="4" t="s">
        <v>37</v>
      </c>
    </row>
    <row r="96" customFormat="false" ht="15" hidden="false" customHeight="false" outlineLevel="0" collapsed="false">
      <c r="A96" s="4" t="s">
        <v>426</v>
      </c>
      <c r="B96" s="4" t="s">
        <v>427</v>
      </c>
      <c r="C96" s="4" t="s">
        <v>74</v>
      </c>
      <c r="D96" s="4" t="s">
        <v>130</v>
      </c>
      <c r="E96" s="4" t="n">
        <v>26</v>
      </c>
      <c r="F96" s="4" t="n">
        <v>682449</v>
      </c>
      <c r="G96" s="4" t="s">
        <v>428</v>
      </c>
      <c r="H96" s="4" t="s">
        <v>429</v>
      </c>
      <c r="I96" s="4" t="s">
        <v>31</v>
      </c>
    </row>
    <row r="97" customFormat="false" ht="15" hidden="false" customHeight="false" outlineLevel="0" collapsed="false">
      <c r="A97" s="4" t="s">
        <v>430</v>
      </c>
      <c r="B97" s="4" t="s">
        <v>271</v>
      </c>
      <c r="C97" s="4" t="s">
        <v>382</v>
      </c>
      <c r="D97" s="4" t="s">
        <v>41</v>
      </c>
      <c r="E97" s="4" t="n">
        <v>31</v>
      </c>
      <c r="F97" s="4" t="n">
        <v>725818</v>
      </c>
      <c r="G97" s="4" t="s">
        <v>431</v>
      </c>
      <c r="H97" s="4" t="s">
        <v>273</v>
      </c>
      <c r="I97" s="4" t="s">
        <v>31</v>
      </c>
    </row>
    <row r="98" customFormat="false" ht="15" hidden="false" customHeight="false" outlineLevel="0" collapsed="false">
      <c r="A98" s="4" t="s">
        <v>432</v>
      </c>
      <c r="B98" s="4" t="s">
        <v>433</v>
      </c>
      <c r="C98" s="4" t="s">
        <v>434</v>
      </c>
      <c r="D98" s="4" t="s">
        <v>41</v>
      </c>
      <c r="E98" s="4" t="n">
        <v>52</v>
      </c>
      <c r="F98" s="4" t="n">
        <v>754227</v>
      </c>
      <c r="G98" s="4" t="s">
        <v>435</v>
      </c>
      <c r="H98" s="4" t="s">
        <v>436</v>
      </c>
      <c r="I98" s="4" t="s">
        <v>24</v>
      </c>
    </row>
    <row r="99" customFormat="false" ht="15" hidden="false" customHeight="false" outlineLevel="0" collapsed="false">
      <c r="A99" s="4" t="s">
        <v>437</v>
      </c>
      <c r="B99" s="4" t="s">
        <v>438</v>
      </c>
      <c r="C99" s="4" t="s">
        <v>40</v>
      </c>
      <c r="D99" s="4" t="s">
        <v>14</v>
      </c>
      <c r="E99" s="4" t="n">
        <v>36</v>
      </c>
      <c r="F99" s="4" t="n">
        <v>478696</v>
      </c>
      <c r="G99" s="4" t="s">
        <v>439</v>
      </c>
      <c r="H99" s="4" t="s">
        <v>440</v>
      </c>
      <c r="I99" s="4" t="s">
        <v>24</v>
      </c>
    </row>
    <row r="100" customFormat="false" ht="15" hidden="false" customHeight="false" outlineLevel="0" collapsed="false">
      <c r="A100" s="4" t="s">
        <v>441</v>
      </c>
      <c r="B100" s="4" t="s">
        <v>442</v>
      </c>
      <c r="C100" s="4" t="s">
        <v>108</v>
      </c>
      <c r="D100" s="4" t="s">
        <v>28</v>
      </c>
      <c r="E100" s="4" t="n">
        <v>31</v>
      </c>
      <c r="F100" s="4" t="n">
        <v>527274</v>
      </c>
      <c r="G100" s="4" t="s">
        <v>443</v>
      </c>
      <c r="H100" s="4" t="s">
        <v>56</v>
      </c>
      <c r="I100" s="4" t="s">
        <v>31</v>
      </c>
    </row>
    <row r="101" customFormat="false" ht="15" hidden="false" customHeight="false" outlineLevel="0" collapsed="false">
      <c r="A101" s="4" t="s">
        <v>444</v>
      </c>
      <c r="B101" s="4" t="s">
        <v>445</v>
      </c>
      <c r="C101" s="4" t="s">
        <v>34</v>
      </c>
      <c r="D101" s="4" t="s">
        <v>28</v>
      </c>
      <c r="E101" s="4" t="n">
        <v>33</v>
      </c>
      <c r="F101" s="4" t="n">
        <v>399232</v>
      </c>
      <c r="G101" s="4" t="s">
        <v>446</v>
      </c>
      <c r="H101" s="4" t="s">
        <v>447</v>
      </c>
      <c r="I101" s="4" t="s">
        <v>31</v>
      </c>
    </row>
    <row r="102" customFormat="false" ht="15" hidden="false" customHeight="false" outlineLevel="0" collapsed="false">
      <c r="A102" s="4" t="s">
        <v>448</v>
      </c>
      <c r="B102" s="4" t="s">
        <v>449</v>
      </c>
      <c r="C102" s="4" t="s">
        <v>244</v>
      </c>
      <c r="D102" s="4" t="s">
        <v>28</v>
      </c>
      <c r="E102" s="4" t="n">
        <v>34</v>
      </c>
      <c r="F102" s="4" t="n">
        <v>381349</v>
      </c>
      <c r="G102" s="4" t="s">
        <v>450</v>
      </c>
      <c r="H102" s="4" t="s">
        <v>451</v>
      </c>
      <c r="I102" s="4" t="s">
        <v>118</v>
      </c>
    </row>
    <row r="103" customFormat="false" ht="15" hidden="false" customHeight="false" outlineLevel="0" collapsed="false">
      <c r="A103" s="4" t="s">
        <v>452</v>
      </c>
      <c r="B103" s="4" t="s">
        <v>453</v>
      </c>
      <c r="C103" s="4" t="s">
        <v>248</v>
      </c>
      <c r="D103" s="4" t="s">
        <v>54</v>
      </c>
      <c r="E103" s="4" t="n">
        <v>27</v>
      </c>
      <c r="F103" s="4" t="n">
        <v>374444</v>
      </c>
      <c r="G103" s="4" t="s">
        <v>454</v>
      </c>
      <c r="H103" s="4" t="s">
        <v>455</v>
      </c>
      <c r="I103" s="4" t="s">
        <v>44</v>
      </c>
    </row>
    <row r="104" customFormat="false" ht="15" hidden="false" customHeight="false" outlineLevel="0" collapsed="false">
      <c r="A104" s="4" t="s">
        <v>456</v>
      </c>
      <c r="B104" s="4" t="s">
        <v>457</v>
      </c>
      <c r="C104" s="4" t="s">
        <v>146</v>
      </c>
      <c r="D104" s="4" t="s">
        <v>48</v>
      </c>
      <c r="E104" s="4" t="n">
        <v>35</v>
      </c>
      <c r="F104" s="4" t="n">
        <v>722271</v>
      </c>
      <c r="G104" s="4" t="s">
        <v>458</v>
      </c>
      <c r="H104" s="4" t="s">
        <v>459</v>
      </c>
      <c r="I104" s="4" t="s">
        <v>44</v>
      </c>
    </row>
    <row r="105" customFormat="false" ht="15" hidden="false" customHeight="false" outlineLevel="0" collapsed="false">
      <c r="A105" s="4" t="s">
        <v>460</v>
      </c>
      <c r="B105" s="4" t="s">
        <v>348</v>
      </c>
      <c r="C105" s="4" t="s">
        <v>34</v>
      </c>
      <c r="D105" s="4" t="s">
        <v>104</v>
      </c>
      <c r="E105" s="4" t="n">
        <v>999</v>
      </c>
      <c r="F105" s="4" t="n">
        <v>333576</v>
      </c>
      <c r="G105" s="4" t="s">
        <v>461</v>
      </c>
      <c r="H105" s="4" t="s">
        <v>350</v>
      </c>
      <c r="I105" s="4" t="s">
        <v>359</v>
      </c>
    </row>
    <row r="106" customFormat="false" ht="15" hidden="false" customHeight="false" outlineLevel="0" collapsed="false">
      <c r="A106" s="4" t="s">
        <v>462</v>
      </c>
      <c r="B106" s="4" t="s">
        <v>463</v>
      </c>
      <c r="C106" s="4" t="s">
        <v>244</v>
      </c>
      <c r="D106" s="4" t="s">
        <v>48</v>
      </c>
      <c r="E106" s="4" t="n">
        <v>53</v>
      </c>
      <c r="F106" s="4" t="n">
        <v>95967</v>
      </c>
      <c r="G106" s="4" t="s">
        <v>464</v>
      </c>
      <c r="H106" s="4" t="s">
        <v>465</v>
      </c>
      <c r="I106" s="4" t="s">
        <v>57</v>
      </c>
    </row>
    <row r="107" customFormat="false" ht="15" hidden="false" customHeight="false" outlineLevel="0" collapsed="false">
      <c r="A107" s="4" t="s">
        <v>466</v>
      </c>
      <c r="B107" s="4" t="s">
        <v>467</v>
      </c>
      <c r="C107" s="4" t="s">
        <v>211</v>
      </c>
      <c r="D107" s="4" t="s">
        <v>84</v>
      </c>
      <c r="E107" s="4" t="n">
        <v>60</v>
      </c>
      <c r="F107" s="4" t="n">
        <v>170547</v>
      </c>
      <c r="G107" s="4" t="s">
        <v>468</v>
      </c>
      <c r="H107" s="4" t="s">
        <v>469</v>
      </c>
      <c r="I107" s="4" t="s">
        <v>17</v>
      </c>
    </row>
    <row r="108" customFormat="false" ht="15" hidden="false" customHeight="false" outlineLevel="0" collapsed="false">
      <c r="A108" s="4" t="s">
        <v>470</v>
      </c>
      <c r="B108" s="4" t="s">
        <v>471</v>
      </c>
      <c r="C108" s="4" t="s">
        <v>211</v>
      </c>
      <c r="D108" s="4" t="s">
        <v>130</v>
      </c>
      <c r="E108" s="4" t="n">
        <v>47</v>
      </c>
      <c r="F108" s="4" t="n">
        <v>773108</v>
      </c>
      <c r="G108" s="4" t="s">
        <v>472</v>
      </c>
      <c r="H108" s="4" t="s">
        <v>473</v>
      </c>
      <c r="I108" s="4" t="s">
        <v>44</v>
      </c>
    </row>
    <row r="109" customFormat="false" ht="15" hidden="false" customHeight="false" outlineLevel="0" collapsed="false">
      <c r="A109" s="4" t="s">
        <v>474</v>
      </c>
      <c r="B109" s="4" t="s">
        <v>475</v>
      </c>
      <c r="C109" s="4" t="s">
        <v>27</v>
      </c>
      <c r="D109" s="4" t="s">
        <v>28</v>
      </c>
      <c r="E109" s="4" t="n">
        <v>38</v>
      </c>
      <c r="F109" s="4" t="s">
        <v>476</v>
      </c>
      <c r="G109" s="4" t="s">
        <v>477</v>
      </c>
      <c r="H109" s="4" t="s">
        <v>478</v>
      </c>
      <c r="I109" s="4" t="s">
        <v>44</v>
      </c>
    </row>
    <row r="110" customFormat="false" ht="15" hidden="false" customHeight="false" outlineLevel="0" collapsed="false">
      <c r="A110" s="4" t="s">
        <v>479</v>
      </c>
      <c r="B110" s="4" t="s">
        <v>480</v>
      </c>
      <c r="C110" s="4" t="s">
        <v>89</v>
      </c>
      <c r="D110" s="4" t="s">
        <v>14</v>
      </c>
      <c r="E110" s="4" t="n">
        <v>29</v>
      </c>
      <c r="F110" s="4" t="n">
        <v>331449</v>
      </c>
      <c r="G110" s="4" t="s">
        <v>481</v>
      </c>
      <c r="H110" s="4" t="s">
        <v>482</v>
      </c>
      <c r="I110" s="4" t="s">
        <v>44</v>
      </c>
    </row>
    <row r="111" customFormat="false" ht="15" hidden="false" customHeight="false" outlineLevel="0" collapsed="false">
      <c r="A111" s="4" t="s">
        <v>483</v>
      </c>
      <c r="B111" s="4" t="s">
        <v>484</v>
      </c>
      <c r="C111" s="4" t="s">
        <v>316</v>
      </c>
      <c r="D111" s="4" t="s">
        <v>130</v>
      </c>
      <c r="E111" s="4" t="n">
        <v>58</v>
      </c>
      <c r="F111" s="4" t="n">
        <v>775938</v>
      </c>
      <c r="G111" s="4" t="s">
        <v>485</v>
      </c>
      <c r="H111" s="4" t="s">
        <v>486</v>
      </c>
      <c r="I111" s="4" t="s">
        <v>44</v>
      </c>
    </row>
    <row r="112" customFormat="false" ht="15" hidden="false" customHeight="false" outlineLevel="0" collapsed="false">
      <c r="A112" s="4" t="s">
        <v>487</v>
      </c>
      <c r="B112" s="4" t="s">
        <v>488</v>
      </c>
      <c r="C112" s="4" t="s">
        <v>20</v>
      </c>
      <c r="D112" s="4" t="s">
        <v>104</v>
      </c>
      <c r="E112" s="4" t="n">
        <v>35</v>
      </c>
      <c r="F112" s="4" t="n">
        <v>764170</v>
      </c>
      <c r="G112" s="4" t="s">
        <v>489</v>
      </c>
      <c r="H112" s="4" t="s">
        <v>160</v>
      </c>
      <c r="I112" s="4" t="s">
        <v>44</v>
      </c>
    </row>
    <row r="113" customFormat="false" ht="15" hidden="false" customHeight="false" outlineLevel="0" collapsed="false">
      <c r="A113" s="4" t="s">
        <v>490</v>
      </c>
      <c r="B113" s="4" t="s">
        <v>491</v>
      </c>
      <c r="C113" s="4" t="s">
        <v>108</v>
      </c>
      <c r="D113" s="4" t="s">
        <v>14</v>
      </c>
      <c r="E113" s="4" t="n">
        <v>52</v>
      </c>
      <c r="F113" s="4" t="n">
        <v>517286</v>
      </c>
      <c r="G113" s="4" t="s">
        <v>492</v>
      </c>
      <c r="H113" s="4" t="s">
        <v>493</v>
      </c>
      <c r="I113" s="4" t="s">
        <v>24</v>
      </c>
    </row>
    <row r="114" customFormat="false" ht="15" hidden="false" customHeight="false" outlineLevel="0" collapsed="false">
      <c r="A114" s="4" t="s">
        <v>494</v>
      </c>
      <c r="B114" s="4" t="s">
        <v>495</v>
      </c>
      <c r="C114" s="4" t="s">
        <v>20</v>
      </c>
      <c r="D114" s="4" t="s">
        <v>28</v>
      </c>
      <c r="E114" s="4" t="n">
        <v>41</v>
      </c>
      <c r="F114" s="4"/>
      <c r="G114" s="4" t="s">
        <v>496</v>
      </c>
      <c r="H114" s="4" t="s">
        <v>334</v>
      </c>
      <c r="I114" s="4" t="s">
        <v>17</v>
      </c>
    </row>
    <row r="115" customFormat="false" ht="15" hidden="false" customHeight="false" outlineLevel="0" collapsed="false">
      <c r="A115" s="4" t="s">
        <v>497</v>
      </c>
      <c r="B115" s="4" t="s">
        <v>498</v>
      </c>
      <c r="C115" s="4" t="s">
        <v>146</v>
      </c>
      <c r="D115" s="4" t="s">
        <v>84</v>
      </c>
      <c r="E115" s="4" t="n">
        <v>53</v>
      </c>
      <c r="F115" s="4" t="n">
        <v>312658</v>
      </c>
      <c r="G115" s="4" t="s">
        <v>499</v>
      </c>
      <c r="H115" s="4" t="s">
        <v>500</v>
      </c>
      <c r="I115" s="4" t="s">
        <v>24</v>
      </c>
    </row>
    <row r="116" customFormat="false" ht="15" hidden="false" customHeight="false" outlineLevel="0" collapsed="false">
      <c r="A116" s="4" t="s">
        <v>265</v>
      </c>
      <c r="B116" s="4" t="s">
        <v>501</v>
      </c>
      <c r="C116" s="4" t="s">
        <v>267</v>
      </c>
      <c r="D116" s="4" t="s">
        <v>28</v>
      </c>
      <c r="E116" s="4" t="n">
        <v>42</v>
      </c>
      <c r="F116" s="4" t="n">
        <v>718738</v>
      </c>
      <c r="G116" s="4" t="s">
        <v>268</v>
      </c>
      <c r="H116" s="4" t="s">
        <v>269</v>
      </c>
      <c r="I116" s="4" t="s">
        <v>118</v>
      </c>
    </row>
    <row r="117" customFormat="false" ht="15" hidden="false" customHeight="false" outlineLevel="0" collapsed="false">
      <c r="A117" s="4" t="s">
        <v>502</v>
      </c>
      <c r="B117" s="4" t="s">
        <v>503</v>
      </c>
      <c r="C117" s="4" t="s">
        <v>140</v>
      </c>
      <c r="D117" s="4" t="s">
        <v>84</v>
      </c>
      <c r="E117" s="4" t="n">
        <v>44</v>
      </c>
      <c r="F117" s="4" t="n">
        <v>506401</v>
      </c>
      <c r="G117" s="4" t="s">
        <v>504</v>
      </c>
      <c r="H117" s="4" t="s">
        <v>505</v>
      </c>
      <c r="I117" s="4" t="s">
        <v>44</v>
      </c>
    </row>
    <row r="118" customFormat="false" ht="15" hidden="false" customHeight="false" outlineLevel="0" collapsed="false">
      <c r="A118" s="4" t="s">
        <v>506</v>
      </c>
      <c r="B118" s="4" t="s">
        <v>507</v>
      </c>
      <c r="C118" s="4" t="s">
        <v>167</v>
      </c>
      <c r="D118" s="4" t="s">
        <v>84</v>
      </c>
      <c r="E118" s="4" t="n">
        <v>24</v>
      </c>
      <c r="F118" s="4" t="n">
        <v>89670600</v>
      </c>
      <c r="G118" s="4" t="s">
        <v>508</v>
      </c>
      <c r="H118" s="4" t="s">
        <v>509</v>
      </c>
      <c r="I118" s="4" t="s">
        <v>31</v>
      </c>
    </row>
    <row r="119" customFormat="false" ht="15" hidden="false" customHeight="false" outlineLevel="0" collapsed="false">
      <c r="A119" s="4" t="s">
        <v>510</v>
      </c>
      <c r="B119" s="4" t="s">
        <v>511</v>
      </c>
      <c r="C119" s="4" t="s">
        <v>83</v>
      </c>
      <c r="D119" s="4" t="s">
        <v>130</v>
      </c>
      <c r="E119" s="4" t="n">
        <v>28</v>
      </c>
      <c r="F119" s="4" t="n">
        <v>340353</v>
      </c>
      <c r="G119" s="4" t="s">
        <v>512</v>
      </c>
      <c r="H119" s="4" t="s">
        <v>513</v>
      </c>
      <c r="I119" s="4" t="s">
        <v>44</v>
      </c>
    </row>
    <row r="120" customFormat="false" ht="15" hidden="false" customHeight="false" outlineLevel="0" collapsed="false">
      <c r="A120" s="4" t="s">
        <v>514</v>
      </c>
      <c r="B120" s="4" t="s">
        <v>515</v>
      </c>
      <c r="C120" s="4" t="s">
        <v>74</v>
      </c>
      <c r="D120" s="4" t="s">
        <v>69</v>
      </c>
      <c r="E120" s="4" t="n">
        <v>53</v>
      </c>
      <c r="F120" s="4" t="n">
        <v>526110</v>
      </c>
      <c r="G120" s="4" t="s">
        <v>516</v>
      </c>
      <c r="H120" s="4" t="s">
        <v>517</v>
      </c>
      <c r="I120" s="4" t="s">
        <v>44</v>
      </c>
    </row>
    <row r="121" customFormat="false" ht="15" hidden="false" customHeight="false" outlineLevel="0" collapsed="false">
      <c r="A121" s="4" t="s">
        <v>518</v>
      </c>
      <c r="B121" s="4" t="s">
        <v>519</v>
      </c>
      <c r="C121" s="4" t="s">
        <v>316</v>
      </c>
      <c r="D121" s="4" t="s">
        <v>54</v>
      </c>
      <c r="E121" s="4" t="n">
        <v>32</v>
      </c>
      <c r="F121" s="4" t="n">
        <v>934218</v>
      </c>
      <c r="G121" s="4" t="s">
        <v>520</v>
      </c>
      <c r="H121" s="4" t="s">
        <v>132</v>
      </c>
      <c r="I121" s="4" t="s">
        <v>44</v>
      </c>
    </row>
    <row r="122" customFormat="false" ht="15" hidden="false" customHeight="false" outlineLevel="0" collapsed="false">
      <c r="A122" s="4" t="s">
        <v>521</v>
      </c>
      <c r="B122" s="4" t="s">
        <v>522</v>
      </c>
      <c r="C122" s="4" t="s">
        <v>523</v>
      </c>
      <c r="D122" s="4" t="s">
        <v>104</v>
      </c>
      <c r="E122" s="4" t="n">
        <v>44</v>
      </c>
      <c r="F122" s="4" t="n">
        <v>605240</v>
      </c>
      <c r="G122" s="4" t="s">
        <v>524</v>
      </c>
      <c r="H122" s="4" t="s">
        <v>425</v>
      </c>
      <c r="I122" s="4" t="s">
        <v>389</v>
      </c>
    </row>
    <row r="123" customFormat="false" ht="15" hidden="false" customHeight="false" outlineLevel="0" collapsed="false">
      <c r="A123" s="4" t="s">
        <v>525</v>
      </c>
      <c r="B123" s="4" t="s">
        <v>526</v>
      </c>
      <c r="C123" s="4" t="s">
        <v>20</v>
      </c>
      <c r="D123" s="4" t="s">
        <v>69</v>
      </c>
      <c r="E123" s="4" t="n">
        <v>46</v>
      </c>
      <c r="F123" s="4" t="n">
        <v>29634700</v>
      </c>
      <c r="G123" s="4" t="s">
        <v>527</v>
      </c>
      <c r="H123" s="4" t="s">
        <v>528</v>
      </c>
      <c r="I123" s="4" t="s">
        <v>17</v>
      </c>
    </row>
    <row r="124" customFormat="false" ht="15" hidden="false" customHeight="false" outlineLevel="0" collapsed="false">
      <c r="A124" s="4" t="s">
        <v>529</v>
      </c>
      <c r="B124" s="4" t="s">
        <v>530</v>
      </c>
      <c r="C124" s="4" t="s">
        <v>248</v>
      </c>
      <c r="D124" s="4" t="s">
        <v>28</v>
      </c>
      <c r="E124" s="4"/>
      <c r="F124" s="4" t="n">
        <v>695511</v>
      </c>
      <c r="G124" s="4" t="s">
        <v>531</v>
      </c>
      <c r="H124" s="4" t="s">
        <v>532</v>
      </c>
      <c r="I124" s="4" t="s">
        <v>17</v>
      </c>
    </row>
    <row r="125" customFormat="false" ht="15" hidden="false" customHeight="false" outlineLevel="0" collapsed="false">
      <c r="A125" s="4" t="s">
        <v>533</v>
      </c>
      <c r="B125" s="4" t="s">
        <v>534</v>
      </c>
      <c r="C125" s="4" t="s">
        <v>146</v>
      </c>
      <c r="D125" s="4" t="s">
        <v>41</v>
      </c>
      <c r="E125" s="4" t="n">
        <v>57</v>
      </c>
      <c r="F125" s="4" t="n">
        <v>844154</v>
      </c>
      <c r="G125" s="4" t="s">
        <v>535</v>
      </c>
      <c r="H125" s="4" t="s">
        <v>536</v>
      </c>
      <c r="I125" s="4" t="s">
        <v>17</v>
      </c>
    </row>
    <row r="126" customFormat="false" ht="15" hidden="false" customHeight="false" outlineLevel="0" collapsed="false">
      <c r="A126" s="4" t="s">
        <v>537</v>
      </c>
      <c r="B126" s="4" t="s">
        <v>538</v>
      </c>
      <c r="C126" s="4" t="s">
        <v>244</v>
      </c>
      <c r="D126" s="4" t="s">
        <v>21</v>
      </c>
      <c r="E126" s="4" t="n">
        <v>48</v>
      </c>
      <c r="F126" s="4" t="n">
        <v>768400</v>
      </c>
      <c r="G126" s="4" t="s">
        <v>539</v>
      </c>
      <c r="H126" s="4" t="s">
        <v>540</v>
      </c>
      <c r="I126" s="4" t="s">
        <v>24</v>
      </c>
    </row>
    <row r="127" customFormat="false" ht="15" hidden="false" customHeight="false" outlineLevel="0" collapsed="false">
      <c r="A127" s="4" t="s">
        <v>541</v>
      </c>
      <c r="B127" s="4" t="s">
        <v>542</v>
      </c>
      <c r="C127" s="4" t="s">
        <v>83</v>
      </c>
      <c r="D127" s="4" t="s">
        <v>21</v>
      </c>
      <c r="E127" s="4" t="n">
        <v>22</v>
      </c>
      <c r="F127" s="4" t="n">
        <v>313818</v>
      </c>
      <c r="G127" s="4" t="s">
        <v>543</v>
      </c>
      <c r="H127" s="4" t="s">
        <v>544</v>
      </c>
      <c r="I127" s="4" t="s">
        <v>17</v>
      </c>
    </row>
    <row r="128" customFormat="false" ht="15" hidden="false" customHeight="false" outlineLevel="0" collapsed="false">
      <c r="A128" s="4" t="s">
        <v>545</v>
      </c>
      <c r="B128" s="4" t="s">
        <v>546</v>
      </c>
      <c r="C128" s="4" t="s">
        <v>262</v>
      </c>
      <c r="D128" s="4" t="s">
        <v>130</v>
      </c>
      <c r="E128" s="4" t="n">
        <v>23</v>
      </c>
      <c r="F128" s="4" t="n">
        <v>301648</v>
      </c>
      <c r="G128" s="4" t="s">
        <v>547</v>
      </c>
      <c r="H128" s="4" t="s">
        <v>548</v>
      </c>
      <c r="I128" s="4" t="s">
        <v>17</v>
      </c>
    </row>
    <row r="129" customFormat="false" ht="15" hidden="false" customHeight="false" outlineLevel="0" collapsed="false">
      <c r="A129" s="4" t="s">
        <v>549</v>
      </c>
      <c r="B129" s="4" t="s">
        <v>550</v>
      </c>
      <c r="C129" s="4" t="s">
        <v>185</v>
      </c>
      <c r="D129" s="4" t="s">
        <v>54</v>
      </c>
      <c r="E129" s="4" t="n">
        <v>45</v>
      </c>
      <c r="F129" s="4" t="n">
        <v>102791</v>
      </c>
      <c r="G129" s="4" t="s">
        <v>551</v>
      </c>
      <c r="H129" s="4" t="s">
        <v>552</v>
      </c>
      <c r="I129" s="4" t="s">
        <v>44</v>
      </c>
    </row>
    <row r="130" customFormat="false" ht="15" hidden="false" customHeight="false" outlineLevel="0" collapsed="false">
      <c r="A130" s="4" t="s">
        <v>553</v>
      </c>
      <c r="B130" s="4" t="s">
        <v>554</v>
      </c>
      <c r="C130" s="4" t="s">
        <v>74</v>
      </c>
      <c r="D130" s="4" t="s">
        <v>54</v>
      </c>
      <c r="E130" s="4" t="n">
        <v>39</v>
      </c>
      <c r="F130" s="4" t="n">
        <v>863969</v>
      </c>
      <c r="G130" s="4" t="s">
        <v>555</v>
      </c>
      <c r="H130" s="4" t="s">
        <v>556</v>
      </c>
      <c r="I130" s="4" t="s">
        <v>17</v>
      </c>
    </row>
    <row r="131" customFormat="false" ht="15" hidden="false" customHeight="false" outlineLevel="0" collapsed="false">
      <c r="A131" s="4" t="s">
        <v>557</v>
      </c>
      <c r="B131" s="4" t="s">
        <v>558</v>
      </c>
      <c r="C131" s="4" t="s">
        <v>244</v>
      </c>
      <c r="D131" s="4" t="s">
        <v>69</v>
      </c>
      <c r="E131" s="4" t="n">
        <v>35</v>
      </c>
      <c r="F131" s="4" t="s">
        <v>559</v>
      </c>
      <c r="G131" s="4" t="s">
        <v>560</v>
      </c>
      <c r="H131" s="4" t="s">
        <v>561</v>
      </c>
      <c r="I131" s="4" t="s">
        <v>17</v>
      </c>
    </row>
    <row r="132" customFormat="false" ht="15" hidden="false" customHeight="false" outlineLevel="0" collapsed="false">
      <c r="A132" s="4" t="s">
        <v>562</v>
      </c>
      <c r="B132" s="4" t="s">
        <v>563</v>
      </c>
      <c r="C132" s="4" t="s">
        <v>167</v>
      </c>
      <c r="D132" s="4" t="s">
        <v>14</v>
      </c>
      <c r="E132" s="4" t="n">
        <v>32</v>
      </c>
      <c r="F132" s="4" t="n">
        <v>363663</v>
      </c>
      <c r="G132" s="4" t="s">
        <v>564</v>
      </c>
      <c r="H132" s="4" t="s">
        <v>565</v>
      </c>
      <c r="I132" s="4" t="s">
        <v>17</v>
      </c>
    </row>
    <row r="133" customFormat="false" ht="15" hidden="false" customHeight="false" outlineLevel="0" collapsed="false">
      <c r="A133" s="4" t="s">
        <v>566</v>
      </c>
      <c r="B133" s="4" t="s">
        <v>567</v>
      </c>
      <c r="C133" s="4" t="s">
        <v>216</v>
      </c>
      <c r="D133" s="4" t="s">
        <v>48</v>
      </c>
      <c r="E133" s="4" t="n">
        <v>52</v>
      </c>
      <c r="F133" s="4" t="n">
        <v>368475</v>
      </c>
      <c r="G133" s="4" t="s">
        <v>568</v>
      </c>
      <c r="H133" s="4" t="s">
        <v>569</v>
      </c>
      <c r="I133" s="4" t="s">
        <v>44</v>
      </c>
    </row>
    <row r="134" customFormat="false" ht="15" hidden="false" customHeight="false" outlineLevel="0" collapsed="false">
      <c r="A134" s="4" t="s">
        <v>570</v>
      </c>
      <c r="B134" s="4" t="s">
        <v>571</v>
      </c>
      <c r="C134" s="4" t="s">
        <v>108</v>
      </c>
      <c r="D134" s="4" t="s">
        <v>130</v>
      </c>
      <c r="E134" s="4" t="n">
        <v>34</v>
      </c>
      <c r="F134" s="4" t="s">
        <v>572</v>
      </c>
      <c r="G134" s="4" t="s">
        <v>573</v>
      </c>
      <c r="H134" s="4" t="s">
        <v>574</v>
      </c>
      <c r="I134" s="4" t="s">
        <v>24</v>
      </c>
    </row>
    <row r="135" customFormat="false" ht="15" hidden="false" customHeight="false" outlineLevel="0" collapsed="false">
      <c r="A135" s="4" t="s">
        <v>575</v>
      </c>
      <c r="B135" s="4" t="s">
        <v>576</v>
      </c>
      <c r="C135" s="4" t="s">
        <v>316</v>
      </c>
      <c r="D135" s="4" t="s">
        <v>48</v>
      </c>
      <c r="E135" s="4" t="n">
        <v>28</v>
      </c>
      <c r="F135" s="4" t="n">
        <v>367195</v>
      </c>
      <c r="G135" s="4" t="s">
        <v>577</v>
      </c>
      <c r="H135" s="4" t="s">
        <v>208</v>
      </c>
      <c r="I135" s="4" t="s">
        <v>24</v>
      </c>
    </row>
    <row r="136" customFormat="false" ht="15" hidden="false" customHeight="false" outlineLevel="0" collapsed="false">
      <c r="A136" s="4" t="s">
        <v>578</v>
      </c>
      <c r="B136" s="4" t="s">
        <v>579</v>
      </c>
      <c r="C136" s="4" t="s">
        <v>94</v>
      </c>
      <c r="D136" s="4" t="s">
        <v>104</v>
      </c>
      <c r="E136" s="4" t="n">
        <v>34</v>
      </c>
      <c r="F136" s="4" t="n">
        <v>844702</v>
      </c>
      <c r="G136" s="4" t="s">
        <v>580</v>
      </c>
      <c r="H136" s="4" t="s">
        <v>581</v>
      </c>
      <c r="I136" s="4" t="s">
        <v>31</v>
      </c>
    </row>
    <row r="137" customFormat="false" ht="15" hidden="false" customHeight="false" outlineLevel="0" collapsed="false">
      <c r="A137" s="4" t="s">
        <v>582</v>
      </c>
      <c r="B137" s="4" t="s">
        <v>583</v>
      </c>
      <c r="C137" s="4" t="s">
        <v>53</v>
      </c>
      <c r="D137" s="4" t="s">
        <v>130</v>
      </c>
      <c r="E137" s="4" t="n">
        <v>-5</v>
      </c>
      <c r="F137" s="4" t="n">
        <v>105434</v>
      </c>
      <c r="G137" s="4" t="s">
        <v>584</v>
      </c>
      <c r="H137" s="4" t="s">
        <v>585</v>
      </c>
      <c r="I137" s="4" t="s">
        <v>44</v>
      </c>
    </row>
    <row r="138" customFormat="false" ht="15" hidden="false" customHeight="false" outlineLevel="0" collapsed="false">
      <c r="A138" s="4" t="s">
        <v>586</v>
      </c>
      <c r="B138" s="4" t="s">
        <v>587</v>
      </c>
      <c r="C138" s="4" t="s">
        <v>27</v>
      </c>
      <c r="D138" s="4" t="s">
        <v>104</v>
      </c>
      <c r="E138" s="4" t="n">
        <v>30</v>
      </c>
      <c r="F138" s="4" t="n">
        <v>637624</v>
      </c>
      <c r="G138" s="4" t="s">
        <v>588</v>
      </c>
      <c r="H138" s="4" t="s">
        <v>213</v>
      </c>
      <c r="I138" s="4" t="s">
        <v>44</v>
      </c>
    </row>
    <row r="139" customFormat="false" ht="15" hidden="false" customHeight="false" outlineLevel="0" collapsed="false">
      <c r="A139" s="4" t="s">
        <v>589</v>
      </c>
      <c r="B139" s="4" t="s">
        <v>590</v>
      </c>
      <c r="C139" s="4" t="s">
        <v>202</v>
      </c>
      <c r="D139" s="4" t="s">
        <v>14</v>
      </c>
      <c r="E139" s="4" t="n">
        <v>36</v>
      </c>
      <c r="F139" s="4" t="n">
        <v>326943</v>
      </c>
      <c r="G139" s="4" t="s">
        <v>591</v>
      </c>
      <c r="H139" s="4" t="s">
        <v>592</v>
      </c>
      <c r="I139" s="4" t="s">
        <v>44</v>
      </c>
    </row>
    <row r="140" customFormat="false" ht="15" hidden="false" customHeight="false" outlineLevel="0" collapsed="false">
      <c r="A140" s="4" t="s">
        <v>593</v>
      </c>
      <c r="B140" s="4" t="s">
        <v>594</v>
      </c>
      <c r="C140" s="4" t="s">
        <v>276</v>
      </c>
      <c r="D140" s="4" t="s">
        <v>69</v>
      </c>
      <c r="E140" s="4" t="n">
        <v>45</v>
      </c>
      <c r="F140" s="4" t="n">
        <v>323304</v>
      </c>
      <c r="G140" s="4" t="s">
        <v>595</v>
      </c>
      <c r="H140" s="4" t="s">
        <v>596</v>
      </c>
      <c r="I140" s="4" t="s">
        <v>24</v>
      </c>
    </row>
    <row r="141" customFormat="false" ht="15" hidden="false" customHeight="false" outlineLevel="0" collapsed="false">
      <c r="A141" s="4" t="s">
        <v>597</v>
      </c>
      <c r="B141" s="4" t="s">
        <v>598</v>
      </c>
      <c r="C141" s="4" t="s">
        <v>40</v>
      </c>
      <c r="D141" s="4" t="s">
        <v>28</v>
      </c>
      <c r="E141" s="4"/>
      <c r="F141" s="4" t="n">
        <v>145619</v>
      </c>
      <c r="G141" s="4" t="s">
        <v>599</v>
      </c>
      <c r="H141" s="4" t="s">
        <v>600</v>
      </c>
      <c r="I141" s="4" t="s">
        <v>24</v>
      </c>
    </row>
    <row r="142" customFormat="false" ht="15" hidden="false" customHeight="false" outlineLevel="0" collapsed="false">
      <c r="A142" s="4" t="s">
        <v>601</v>
      </c>
      <c r="B142" s="4" t="s">
        <v>602</v>
      </c>
      <c r="C142" s="4" t="s">
        <v>99</v>
      </c>
      <c r="D142" s="4" t="s">
        <v>41</v>
      </c>
      <c r="E142" s="4" t="n">
        <v>30</v>
      </c>
      <c r="F142" s="4" t="n">
        <v>578543</v>
      </c>
      <c r="G142" s="4" t="s">
        <v>603</v>
      </c>
      <c r="H142" s="4" t="s">
        <v>604</v>
      </c>
      <c r="I142" s="4" t="s">
        <v>24</v>
      </c>
    </row>
    <row r="143" customFormat="false" ht="15" hidden="false" customHeight="false" outlineLevel="0" collapsed="false">
      <c r="A143" s="4" t="s">
        <v>605</v>
      </c>
      <c r="B143" s="4" t="s">
        <v>606</v>
      </c>
      <c r="C143" s="4" t="s">
        <v>140</v>
      </c>
      <c r="D143" s="4" t="s">
        <v>69</v>
      </c>
      <c r="E143" s="4" t="n">
        <v>51</v>
      </c>
      <c r="F143" s="4" t="n">
        <v>298442</v>
      </c>
      <c r="G143" s="4" t="s">
        <v>607</v>
      </c>
      <c r="H143" s="4" t="s">
        <v>608</v>
      </c>
      <c r="I143" s="4" t="s">
        <v>44</v>
      </c>
    </row>
    <row r="144" customFormat="false" ht="15" hidden="false" customHeight="false" outlineLevel="0" collapsed="false">
      <c r="A144" s="4" t="s">
        <v>609</v>
      </c>
      <c r="B144" s="4" t="s">
        <v>610</v>
      </c>
      <c r="C144" s="4" t="s">
        <v>167</v>
      </c>
      <c r="D144" s="4" t="s">
        <v>14</v>
      </c>
      <c r="E144" s="4" t="n">
        <v>34</v>
      </c>
      <c r="F144" s="4" t="n">
        <v>767997</v>
      </c>
      <c r="G144" s="4" t="s">
        <v>611</v>
      </c>
      <c r="H144" s="4" t="s">
        <v>612</v>
      </c>
      <c r="I144" s="4" t="s">
        <v>31</v>
      </c>
    </row>
    <row r="145" customFormat="false" ht="15" hidden="false" customHeight="false" outlineLevel="0" collapsed="false">
      <c r="A145" s="4" t="s">
        <v>613</v>
      </c>
      <c r="B145" s="4" t="s">
        <v>614</v>
      </c>
      <c r="C145" s="4" t="s">
        <v>94</v>
      </c>
      <c r="D145" s="4" t="s">
        <v>21</v>
      </c>
      <c r="E145" s="4" t="n">
        <v>57</v>
      </c>
      <c r="F145" s="4" t="n">
        <v>445994</v>
      </c>
      <c r="G145" s="4" t="s">
        <v>615</v>
      </c>
      <c r="H145" s="4" t="s">
        <v>616</v>
      </c>
      <c r="I145" s="4" t="s">
        <v>24</v>
      </c>
    </row>
    <row r="146" customFormat="false" ht="15" hidden="false" customHeight="false" outlineLevel="0" collapsed="false">
      <c r="A146" s="4" t="s">
        <v>617</v>
      </c>
      <c r="B146" s="4" t="s">
        <v>618</v>
      </c>
      <c r="C146" s="4" t="s">
        <v>434</v>
      </c>
      <c r="D146" s="4" t="s">
        <v>28</v>
      </c>
      <c r="E146" s="4" t="n">
        <v>21</v>
      </c>
      <c r="F146" s="4" t="n">
        <v>-133026</v>
      </c>
      <c r="G146" s="4" t="s">
        <v>619</v>
      </c>
      <c r="H146" s="4" t="s">
        <v>620</v>
      </c>
      <c r="I146" s="4" t="s">
        <v>359</v>
      </c>
    </row>
    <row r="147" customFormat="false" ht="15" hidden="false" customHeight="false" outlineLevel="0" collapsed="false">
      <c r="A147" s="4" t="s">
        <v>621</v>
      </c>
      <c r="B147" s="4" t="s">
        <v>622</v>
      </c>
      <c r="C147" s="4" t="s">
        <v>47</v>
      </c>
      <c r="D147" s="4" t="s">
        <v>104</v>
      </c>
      <c r="E147" s="4"/>
      <c r="F147" s="4" t="n">
        <v>494707</v>
      </c>
      <c r="G147" s="4" t="s">
        <v>623</v>
      </c>
      <c r="H147" s="4" t="s">
        <v>624</v>
      </c>
      <c r="I147" s="4" t="s">
        <v>17</v>
      </c>
    </row>
    <row r="148" customFormat="false" ht="15" hidden="false" customHeight="false" outlineLevel="0" collapsed="false">
      <c r="A148" s="4" t="s">
        <v>625</v>
      </c>
      <c r="B148" s="4" t="s">
        <v>626</v>
      </c>
      <c r="C148" s="4" t="s">
        <v>27</v>
      </c>
      <c r="D148" s="4" t="s">
        <v>48</v>
      </c>
      <c r="E148" s="4" t="n">
        <v>24</v>
      </c>
      <c r="F148" s="4" t="n">
        <v>113436</v>
      </c>
      <c r="G148" s="4" t="s">
        <v>627</v>
      </c>
      <c r="H148" s="4" t="s">
        <v>628</v>
      </c>
      <c r="I148" s="4" t="s">
        <v>24</v>
      </c>
    </row>
    <row r="149" customFormat="false" ht="15" hidden="false" customHeight="false" outlineLevel="0" collapsed="false">
      <c r="A149" s="4" t="s">
        <v>629</v>
      </c>
      <c r="B149" s="4" t="s">
        <v>630</v>
      </c>
      <c r="C149" s="4" t="s">
        <v>129</v>
      </c>
      <c r="D149" s="4" t="s">
        <v>41</v>
      </c>
      <c r="E149" s="4" t="n">
        <v>37</v>
      </c>
      <c r="F149" s="4" t="n">
        <v>223921</v>
      </c>
      <c r="G149" s="4" t="s">
        <v>631</v>
      </c>
      <c r="H149" s="4" t="s">
        <v>632</v>
      </c>
      <c r="I149" s="4" t="s">
        <v>359</v>
      </c>
    </row>
    <row r="150" customFormat="false" ht="15" hidden="false" customHeight="false" outlineLevel="0" collapsed="false">
      <c r="A150" s="4" t="s">
        <v>633</v>
      </c>
      <c r="B150" s="4" t="s">
        <v>634</v>
      </c>
      <c r="C150" s="4" t="s">
        <v>185</v>
      </c>
      <c r="D150" s="4" t="s">
        <v>130</v>
      </c>
      <c r="E150" s="4" t="n">
        <v>57</v>
      </c>
      <c r="F150" s="4" t="n">
        <v>431119</v>
      </c>
      <c r="G150" s="4" t="s">
        <v>635</v>
      </c>
      <c r="H150" s="4" t="s">
        <v>636</v>
      </c>
      <c r="I150" s="4" t="s">
        <v>44</v>
      </c>
    </row>
    <row r="151" customFormat="false" ht="15" hidden="false" customHeight="false" outlineLevel="0" collapsed="false">
      <c r="A151" s="4" t="s">
        <v>637</v>
      </c>
      <c r="B151" s="4" t="s">
        <v>638</v>
      </c>
      <c r="C151" s="4" t="s">
        <v>99</v>
      </c>
      <c r="D151" s="4" t="s">
        <v>54</v>
      </c>
      <c r="E151" s="4"/>
      <c r="F151" s="4" t="n">
        <v>155422</v>
      </c>
      <c r="G151" s="4" t="s">
        <v>639</v>
      </c>
      <c r="H151" s="4" t="s">
        <v>640</v>
      </c>
      <c r="I151" s="4" t="s">
        <v>24</v>
      </c>
    </row>
    <row r="152" customFormat="false" ht="15" hidden="false" customHeight="false" outlineLevel="0" collapsed="false">
      <c r="A152" s="4" t="s">
        <v>466</v>
      </c>
      <c r="B152" s="4" t="s">
        <v>641</v>
      </c>
      <c r="C152" s="4" t="s">
        <v>211</v>
      </c>
      <c r="D152" s="4" t="s">
        <v>84</v>
      </c>
      <c r="E152" s="4" t="n">
        <v>60</v>
      </c>
      <c r="F152" s="4" t="n">
        <v>170547</v>
      </c>
      <c r="G152" s="4" t="s">
        <v>468</v>
      </c>
      <c r="H152" s="4" t="s">
        <v>469</v>
      </c>
      <c r="I152" s="4" t="s">
        <v>17</v>
      </c>
    </row>
    <row r="153" customFormat="false" ht="15" hidden="false" customHeight="false" outlineLevel="0" collapsed="false">
      <c r="A153" s="4" t="s">
        <v>642</v>
      </c>
      <c r="B153" s="4" t="s">
        <v>643</v>
      </c>
      <c r="C153" s="4" t="s">
        <v>140</v>
      </c>
      <c r="D153" s="4" t="s">
        <v>14</v>
      </c>
      <c r="E153" s="4" t="n">
        <v>53</v>
      </c>
      <c r="F153" s="4" t="n">
        <v>150708</v>
      </c>
      <c r="G153" s="4" t="s">
        <v>644</v>
      </c>
      <c r="H153" s="4" t="s">
        <v>645</v>
      </c>
      <c r="I153" s="4" t="s">
        <v>17</v>
      </c>
    </row>
    <row r="154" customFormat="false" ht="15" hidden="false" customHeight="false" outlineLevel="0" collapsed="false">
      <c r="A154" s="4" t="s">
        <v>646</v>
      </c>
      <c r="B154" s="4" t="s">
        <v>647</v>
      </c>
      <c r="C154" s="4" t="s">
        <v>74</v>
      </c>
      <c r="D154" s="4" t="s">
        <v>69</v>
      </c>
      <c r="E154" s="4" t="n">
        <v>23</v>
      </c>
      <c r="F154" s="4" t="s">
        <v>648</v>
      </c>
      <c r="G154" s="4" t="s">
        <v>649</v>
      </c>
      <c r="H154" s="4" t="s">
        <v>650</v>
      </c>
      <c r="I154" s="4" t="s">
        <v>17</v>
      </c>
    </row>
    <row r="155" customFormat="false" ht="15" hidden="false" customHeight="false" outlineLevel="0" collapsed="false">
      <c r="A155" s="4" t="s">
        <v>651</v>
      </c>
      <c r="B155" s="4" t="s">
        <v>652</v>
      </c>
      <c r="C155" s="4" t="s">
        <v>202</v>
      </c>
      <c r="D155" s="4" t="s">
        <v>28</v>
      </c>
      <c r="E155" s="4" t="n">
        <v>50</v>
      </c>
      <c r="F155" s="4" t="n">
        <v>372137</v>
      </c>
      <c r="G155" s="4" t="s">
        <v>653</v>
      </c>
      <c r="H155" s="4" t="s">
        <v>654</v>
      </c>
      <c r="I155" s="4" t="s">
        <v>31</v>
      </c>
    </row>
    <row r="156" customFormat="false" ht="15" hidden="false" customHeight="false" outlineLevel="0" collapsed="false">
      <c r="A156" s="4" t="s">
        <v>655</v>
      </c>
      <c r="B156" s="4" t="s">
        <v>656</v>
      </c>
      <c r="C156" s="4" t="s">
        <v>47</v>
      </c>
      <c r="D156" s="4" t="s">
        <v>21</v>
      </c>
      <c r="E156" s="4" t="n">
        <v>26</v>
      </c>
      <c r="F156" s="4" t="n">
        <v>810015</v>
      </c>
      <c r="G156" s="4" t="s">
        <v>657</v>
      </c>
      <c r="H156" s="4" t="s">
        <v>658</v>
      </c>
      <c r="I156" s="4" t="s">
        <v>31</v>
      </c>
    </row>
    <row r="157" customFormat="false" ht="15" hidden="false" customHeight="false" outlineLevel="0" collapsed="false">
      <c r="A157" s="4" t="s">
        <v>659</v>
      </c>
      <c r="B157" s="4" t="s">
        <v>660</v>
      </c>
      <c r="C157" s="4" t="s">
        <v>94</v>
      </c>
      <c r="D157" s="4" t="s">
        <v>41</v>
      </c>
      <c r="E157" s="4" t="n">
        <v>47</v>
      </c>
      <c r="F157" s="4" t="n">
        <v>404175</v>
      </c>
      <c r="G157" s="4" t="s">
        <v>661</v>
      </c>
      <c r="H157" s="4" t="s">
        <v>662</v>
      </c>
      <c r="I157" s="4" t="s">
        <v>24</v>
      </c>
    </row>
    <row r="158" customFormat="false" ht="15" hidden="false" customHeight="false" outlineLevel="0" collapsed="false">
      <c r="A158" s="4" t="s">
        <v>663</v>
      </c>
      <c r="B158" s="4" t="s">
        <v>664</v>
      </c>
      <c r="C158" s="4" t="s">
        <v>216</v>
      </c>
      <c r="D158" s="4" t="s">
        <v>84</v>
      </c>
      <c r="E158" s="4" t="n">
        <v>42</v>
      </c>
      <c r="F158" s="4" t="n">
        <v>170963</v>
      </c>
      <c r="G158" s="4" t="s">
        <v>665</v>
      </c>
      <c r="H158" s="4" t="s">
        <v>666</v>
      </c>
      <c r="I158" s="4" t="s">
        <v>359</v>
      </c>
    </row>
    <row r="159" customFormat="false" ht="15" hidden="false" customHeight="false" outlineLevel="0" collapsed="false">
      <c r="A159" s="4" t="s">
        <v>667</v>
      </c>
      <c r="B159" s="4" t="s">
        <v>668</v>
      </c>
      <c r="C159" s="4" t="s">
        <v>382</v>
      </c>
      <c r="D159" s="4" t="s">
        <v>14</v>
      </c>
      <c r="E159" s="4" t="n">
        <v>29</v>
      </c>
      <c r="F159" s="4" t="n">
        <v>187900</v>
      </c>
      <c r="G159" s="4" t="s">
        <v>669</v>
      </c>
      <c r="H159" s="4" t="s">
        <v>273</v>
      </c>
      <c r="I159" s="4" t="s">
        <v>24</v>
      </c>
    </row>
    <row r="160" customFormat="false" ht="15" hidden="false" customHeight="false" outlineLevel="0" collapsed="false">
      <c r="A160" s="4" t="s">
        <v>670</v>
      </c>
      <c r="B160" s="4" t="s">
        <v>671</v>
      </c>
      <c r="C160" s="4" t="s">
        <v>60</v>
      </c>
      <c r="D160" s="4" t="s">
        <v>54</v>
      </c>
      <c r="E160" s="4" t="n">
        <v>26</v>
      </c>
      <c r="F160" s="4" t="n">
        <v>524167</v>
      </c>
      <c r="G160" s="4" t="s">
        <v>672</v>
      </c>
      <c r="H160" s="4" t="s">
        <v>673</v>
      </c>
      <c r="I160" s="4" t="s">
        <v>31</v>
      </c>
    </row>
    <row r="161" customFormat="false" ht="15" hidden="false" customHeight="false" outlineLevel="0" collapsed="false">
      <c r="A161" s="4" t="s">
        <v>674</v>
      </c>
      <c r="B161" s="4" t="s">
        <v>675</v>
      </c>
      <c r="C161" s="4" t="s">
        <v>253</v>
      </c>
      <c r="D161" s="4" t="s">
        <v>54</v>
      </c>
      <c r="E161" s="4" t="n">
        <v>59</v>
      </c>
      <c r="F161" s="4" t="n">
        <v>274305</v>
      </c>
      <c r="G161" s="4" t="s">
        <v>676</v>
      </c>
      <c r="H161" s="4" t="s">
        <v>677</v>
      </c>
      <c r="I161" s="4" t="s">
        <v>24</v>
      </c>
    </row>
    <row r="162" customFormat="false" ht="15" hidden="false" customHeight="false" outlineLevel="0" collapsed="false">
      <c r="A162" s="4" t="s">
        <v>678</v>
      </c>
      <c r="B162" s="4" t="s">
        <v>679</v>
      </c>
      <c r="C162" s="4" t="s">
        <v>40</v>
      </c>
      <c r="D162" s="4" t="s">
        <v>54</v>
      </c>
      <c r="E162" s="4" t="n">
        <v>33</v>
      </c>
      <c r="F162" s="4" t="n">
        <v>318736</v>
      </c>
      <c r="G162" s="4" t="s">
        <v>680</v>
      </c>
      <c r="H162" s="4" t="s">
        <v>681</v>
      </c>
      <c r="I162" s="4" t="s">
        <v>57</v>
      </c>
    </row>
    <row r="163" customFormat="false" ht="15" hidden="false" customHeight="false" outlineLevel="0" collapsed="false">
      <c r="A163" s="4" t="s">
        <v>682</v>
      </c>
      <c r="B163" s="4" t="s">
        <v>683</v>
      </c>
      <c r="C163" s="4" t="s">
        <v>167</v>
      </c>
      <c r="D163" s="4" t="s">
        <v>69</v>
      </c>
      <c r="E163" s="4" t="n">
        <v>44</v>
      </c>
      <c r="F163" s="4" t="n">
        <v>640632</v>
      </c>
      <c r="G163" s="4" t="s">
        <v>684</v>
      </c>
      <c r="H163" s="4" t="s">
        <v>500</v>
      </c>
      <c r="I163" s="4" t="s">
        <v>57</v>
      </c>
    </row>
    <row r="164" customFormat="false" ht="15" hidden="false" customHeight="false" outlineLevel="0" collapsed="false">
      <c r="A164" s="4" t="s">
        <v>685</v>
      </c>
      <c r="B164" s="4" t="s">
        <v>686</v>
      </c>
      <c r="C164" s="4" t="s">
        <v>382</v>
      </c>
      <c r="D164" s="4" t="s">
        <v>84</v>
      </c>
      <c r="E164" s="4" t="n">
        <v>47</v>
      </c>
      <c r="F164" s="4" t="n">
        <v>440668</v>
      </c>
      <c r="G164" s="4" t="s">
        <v>687</v>
      </c>
      <c r="H164" s="4" t="s">
        <v>688</v>
      </c>
      <c r="I164" s="4" t="s">
        <v>37</v>
      </c>
    </row>
    <row r="165" customFormat="false" ht="15" hidden="false" customHeight="false" outlineLevel="0" collapsed="false">
      <c r="A165" s="4" t="s">
        <v>689</v>
      </c>
      <c r="B165" s="4" t="s">
        <v>690</v>
      </c>
      <c r="C165" s="4" t="s">
        <v>40</v>
      </c>
      <c r="D165" s="4" t="s">
        <v>28</v>
      </c>
      <c r="E165" s="4" t="n">
        <v>29</v>
      </c>
      <c r="F165" s="4" t="n">
        <v>234025</v>
      </c>
      <c r="G165" s="4" t="s">
        <v>691</v>
      </c>
      <c r="H165" s="4" t="s">
        <v>692</v>
      </c>
      <c r="I165" s="4" t="s">
        <v>17</v>
      </c>
    </row>
    <row r="166" customFormat="false" ht="15" hidden="false" customHeight="false" outlineLevel="0" collapsed="false">
      <c r="A166" s="4" t="s">
        <v>693</v>
      </c>
      <c r="B166" s="4" t="s">
        <v>694</v>
      </c>
      <c r="C166" s="4" t="s">
        <v>74</v>
      </c>
      <c r="D166" s="4" t="s">
        <v>69</v>
      </c>
      <c r="E166" s="4" t="n">
        <v>32</v>
      </c>
      <c r="F166" s="4" t="n">
        <v>59135100</v>
      </c>
      <c r="G166" s="4" t="s">
        <v>695</v>
      </c>
      <c r="H166" s="4" t="s">
        <v>696</v>
      </c>
      <c r="I166" s="4" t="s">
        <v>24</v>
      </c>
    </row>
    <row r="167" customFormat="false" ht="15" hidden="false" customHeight="false" outlineLevel="0" collapsed="false">
      <c r="A167" s="4" t="s">
        <v>697</v>
      </c>
      <c r="B167" s="4" t="s">
        <v>698</v>
      </c>
      <c r="C167" s="4" t="s">
        <v>20</v>
      </c>
      <c r="D167" s="4" t="s">
        <v>130</v>
      </c>
      <c r="E167" s="4" t="n">
        <v>59</v>
      </c>
      <c r="F167" s="4" t="n">
        <v>249883</v>
      </c>
      <c r="G167" s="4" t="s">
        <v>699</v>
      </c>
      <c r="H167" s="4" t="s">
        <v>700</v>
      </c>
      <c r="I167" s="4" t="s">
        <v>17</v>
      </c>
    </row>
    <row r="168" customFormat="false" ht="15" hidden="false" customHeight="false" outlineLevel="0" collapsed="false">
      <c r="A168" s="4" t="s">
        <v>701</v>
      </c>
      <c r="B168" s="4" t="s">
        <v>702</v>
      </c>
      <c r="C168" s="4" t="s">
        <v>74</v>
      </c>
      <c r="D168" s="4" t="s">
        <v>48</v>
      </c>
      <c r="E168" s="4" t="n">
        <v>31</v>
      </c>
      <c r="F168" s="4" t="n">
        <v>185076</v>
      </c>
      <c r="G168" s="4" t="s">
        <v>703</v>
      </c>
      <c r="H168" s="4" t="s">
        <v>704</v>
      </c>
      <c r="I168" s="4" t="s">
        <v>44</v>
      </c>
    </row>
    <row r="169" customFormat="false" ht="15" hidden="false" customHeight="false" outlineLevel="0" collapsed="false">
      <c r="A169" s="4" t="s">
        <v>705</v>
      </c>
      <c r="B169" s="4" t="s">
        <v>706</v>
      </c>
      <c r="C169" s="4" t="s">
        <v>140</v>
      </c>
      <c r="D169" s="4" t="s">
        <v>28</v>
      </c>
      <c r="E169" s="4" t="n">
        <v>59</v>
      </c>
      <c r="F169" s="4" t="n">
        <v>491633</v>
      </c>
      <c r="G169" s="4" t="s">
        <v>707</v>
      </c>
      <c r="H169" s="4" t="s">
        <v>708</v>
      </c>
      <c r="I169" s="4" t="s">
        <v>31</v>
      </c>
    </row>
    <row r="170" customFormat="false" ht="15" hidden="false" customHeight="false" outlineLevel="0" collapsed="false">
      <c r="A170" s="4" t="s">
        <v>709</v>
      </c>
      <c r="B170" s="4" t="s">
        <v>710</v>
      </c>
      <c r="C170" s="4" t="s">
        <v>434</v>
      </c>
      <c r="D170" s="4" t="s">
        <v>130</v>
      </c>
      <c r="E170" s="4" t="n">
        <v>45</v>
      </c>
      <c r="F170" s="4" t="n">
        <v>722098</v>
      </c>
      <c r="G170" s="4" t="s">
        <v>711</v>
      </c>
      <c r="H170" s="4" t="s">
        <v>712</v>
      </c>
      <c r="I170" s="4" t="s">
        <v>37</v>
      </c>
    </row>
    <row r="171" customFormat="false" ht="15" hidden="false" customHeight="false" outlineLevel="0" collapsed="false">
      <c r="A171" s="4" t="s">
        <v>713</v>
      </c>
      <c r="B171" s="4" t="s">
        <v>714</v>
      </c>
      <c r="C171" s="4" t="s">
        <v>74</v>
      </c>
      <c r="D171" s="4" t="s">
        <v>54</v>
      </c>
      <c r="E171" s="4" t="n">
        <v>26</v>
      </c>
      <c r="F171" s="4" t="n">
        <v>291104</v>
      </c>
      <c r="G171" s="4" t="s">
        <v>715</v>
      </c>
      <c r="H171" s="4" t="s">
        <v>624</v>
      </c>
      <c r="I171" s="4" t="s">
        <v>44</v>
      </c>
    </row>
    <row r="172" customFormat="false" ht="15" hidden="false" customHeight="false" outlineLevel="0" collapsed="false">
      <c r="A172" s="4" t="s">
        <v>716</v>
      </c>
      <c r="B172" s="4" t="s">
        <v>717</v>
      </c>
      <c r="C172" s="4" t="s">
        <v>167</v>
      </c>
      <c r="D172" s="4" t="s">
        <v>104</v>
      </c>
      <c r="E172" s="4" t="n">
        <v>23</v>
      </c>
      <c r="F172" s="4" t="n">
        <v>116043</v>
      </c>
      <c r="G172" s="4" t="s">
        <v>718</v>
      </c>
      <c r="H172" s="4" t="s">
        <v>719</v>
      </c>
      <c r="I172" s="4" t="s">
        <v>24</v>
      </c>
    </row>
    <row r="173" customFormat="false" ht="15" hidden="false" customHeight="false" outlineLevel="0" collapsed="false">
      <c r="A173" s="4" t="s">
        <v>582</v>
      </c>
      <c r="B173" s="4" t="s">
        <v>583</v>
      </c>
      <c r="C173" s="4" t="s">
        <v>53</v>
      </c>
      <c r="D173" s="4" t="s">
        <v>130</v>
      </c>
      <c r="E173" s="4" t="n">
        <v>-5</v>
      </c>
      <c r="F173" s="4" t="n">
        <v>105434</v>
      </c>
      <c r="G173" s="4" t="s">
        <v>584</v>
      </c>
      <c r="H173" s="4" t="s">
        <v>585</v>
      </c>
      <c r="I173" s="4" t="s">
        <v>44</v>
      </c>
    </row>
    <row r="174" customFormat="false" ht="15" hidden="false" customHeight="false" outlineLevel="0" collapsed="false">
      <c r="A174" s="4" t="s">
        <v>720</v>
      </c>
      <c r="B174" s="4" t="s">
        <v>721</v>
      </c>
      <c r="C174" s="4" t="s">
        <v>34</v>
      </c>
      <c r="D174" s="4" t="s">
        <v>41</v>
      </c>
      <c r="E174" s="4" t="n">
        <v>52</v>
      </c>
      <c r="F174" s="4" t="n">
        <v>363039</v>
      </c>
      <c r="G174" s="4" t="s">
        <v>722</v>
      </c>
      <c r="H174" s="4" t="s">
        <v>723</v>
      </c>
      <c r="I174" s="4" t="s">
        <v>359</v>
      </c>
    </row>
    <row r="175" customFormat="false" ht="15" hidden="false" customHeight="false" outlineLevel="0" collapsed="false">
      <c r="A175" s="4" t="s">
        <v>724</v>
      </c>
      <c r="B175" s="4" t="s">
        <v>725</v>
      </c>
      <c r="C175" s="4" t="s">
        <v>140</v>
      </c>
      <c r="D175" s="4" t="s">
        <v>48</v>
      </c>
      <c r="E175" s="4" t="n">
        <v>53</v>
      </c>
      <c r="F175" s="4" t="n">
        <v>297888</v>
      </c>
      <c r="G175" s="4" t="s">
        <v>726</v>
      </c>
      <c r="H175" s="4" t="s">
        <v>727</v>
      </c>
      <c r="I175" s="4" t="s">
        <v>37</v>
      </c>
    </row>
    <row r="176" customFormat="false" ht="15" hidden="false" customHeight="false" outlineLevel="0" collapsed="false">
      <c r="A176" s="4" t="s">
        <v>728</v>
      </c>
      <c r="B176" s="4" t="s">
        <v>729</v>
      </c>
      <c r="C176" s="4" t="s">
        <v>40</v>
      </c>
      <c r="D176" s="4" t="s">
        <v>104</v>
      </c>
      <c r="E176" s="4" t="n">
        <v>21</v>
      </c>
      <c r="F176" s="4" t="n">
        <v>123337</v>
      </c>
      <c r="G176" s="4" t="s">
        <v>730</v>
      </c>
      <c r="H176" s="4" t="s">
        <v>731</v>
      </c>
      <c r="I176" s="4" t="s">
        <v>44</v>
      </c>
    </row>
    <row r="177" customFormat="false" ht="15" hidden="false" customHeight="false" outlineLevel="0" collapsed="false">
      <c r="A177" s="4" t="s">
        <v>732</v>
      </c>
      <c r="B177" s="4" t="s">
        <v>733</v>
      </c>
      <c r="C177" s="4" t="s">
        <v>94</v>
      </c>
      <c r="D177" s="4" t="s">
        <v>130</v>
      </c>
      <c r="E177" s="4" t="n">
        <v>26</v>
      </c>
      <c r="F177" s="4" t="s">
        <v>734</v>
      </c>
      <c r="G177" s="4" t="s">
        <v>735</v>
      </c>
      <c r="H177" s="4" t="s">
        <v>230</v>
      </c>
      <c r="I177" s="4" t="s">
        <v>17</v>
      </c>
    </row>
    <row r="178" customFormat="false" ht="15" hidden="false" customHeight="false" outlineLevel="0" collapsed="false">
      <c r="A178" s="4" t="s">
        <v>736</v>
      </c>
      <c r="B178" s="4" t="s">
        <v>737</v>
      </c>
      <c r="C178" s="4" t="s">
        <v>220</v>
      </c>
      <c r="D178" s="4" t="s">
        <v>14</v>
      </c>
      <c r="E178" s="4" t="n">
        <v>999</v>
      </c>
      <c r="F178" s="4"/>
      <c r="G178" s="4" t="s">
        <v>738</v>
      </c>
      <c r="H178" s="4" t="s">
        <v>739</v>
      </c>
      <c r="I178" s="4" t="s">
        <v>24</v>
      </c>
    </row>
    <row r="179" customFormat="false" ht="15" hidden="false" customHeight="false" outlineLevel="0" collapsed="false">
      <c r="A179" s="4" t="s">
        <v>740</v>
      </c>
      <c r="B179" s="4" t="s">
        <v>741</v>
      </c>
      <c r="C179" s="4" t="s">
        <v>74</v>
      </c>
      <c r="D179" s="4" t="s">
        <v>54</v>
      </c>
      <c r="E179" s="4" t="n">
        <v>37</v>
      </c>
      <c r="F179" s="4" t="n">
        <v>571235</v>
      </c>
      <c r="G179" s="4" t="s">
        <v>742</v>
      </c>
      <c r="H179" s="4" t="s">
        <v>743</v>
      </c>
      <c r="I179" s="4" t="s">
        <v>44</v>
      </c>
    </row>
    <row r="180" customFormat="false" ht="15" hidden="false" customHeight="false" outlineLevel="0" collapsed="false">
      <c r="A180" s="4" t="s">
        <v>744</v>
      </c>
      <c r="B180" s="4" t="s">
        <v>745</v>
      </c>
      <c r="C180" s="4" t="s">
        <v>146</v>
      </c>
      <c r="D180" s="4" t="s">
        <v>41</v>
      </c>
      <c r="E180" s="4" t="n">
        <v>54</v>
      </c>
      <c r="F180" s="4" t="n">
        <v>824003</v>
      </c>
      <c r="G180" s="4" t="s">
        <v>746</v>
      </c>
      <c r="H180" s="4" t="s">
        <v>561</v>
      </c>
      <c r="I180" s="4" t="s">
        <v>24</v>
      </c>
    </row>
    <row r="181" customFormat="false" ht="15" hidden="false" customHeight="false" outlineLevel="0" collapsed="false">
      <c r="A181" s="4" t="s">
        <v>747</v>
      </c>
      <c r="B181" s="4" t="s">
        <v>748</v>
      </c>
      <c r="C181" s="4" t="s">
        <v>253</v>
      </c>
      <c r="D181" s="4" t="s">
        <v>28</v>
      </c>
      <c r="E181" s="4" t="n">
        <v>30</v>
      </c>
      <c r="F181" s="4" t="n">
        <v>781262</v>
      </c>
      <c r="G181" s="4" t="s">
        <v>749</v>
      </c>
      <c r="H181" s="4" t="s">
        <v>750</v>
      </c>
      <c r="I181" s="4" t="s">
        <v>118</v>
      </c>
    </row>
    <row r="182" customFormat="false" ht="15" hidden="false" customHeight="false" outlineLevel="0" collapsed="false">
      <c r="A182" s="4" t="s">
        <v>751</v>
      </c>
      <c r="B182" s="4" t="s">
        <v>752</v>
      </c>
      <c r="C182" s="4" t="s">
        <v>244</v>
      </c>
      <c r="D182" s="4" t="s">
        <v>104</v>
      </c>
      <c r="E182" s="4" t="n">
        <v>56</v>
      </c>
      <c r="F182" s="4" t="n">
        <v>467213</v>
      </c>
      <c r="G182" s="4" t="s">
        <v>753</v>
      </c>
      <c r="H182" s="4" t="s">
        <v>754</v>
      </c>
      <c r="I182" s="4" t="s">
        <v>44</v>
      </c>
    </row>
    <row r="183" customFormat="false" ht="15" hidden="false" customHeight="false" outlineLevel="0" collapsed="false">
      <c r="A183" s="4" t="s">
        <v>755</v>
      </c>
      <c r="B183" s="4" t="s">
        <v>756</v>
      </c>
      <c r="C183" s="4" t="s">
        <v>244</v>
      </c>
      <c r="D183" s="4" t="s">
        <v>28</v>
      </c>
      <c r="E183" s="4" t="n">
        <v>27</v>
      </c>
      <c r="F183" s="4" t="n">
        <v>584913</v>
      </c>
      <c r="G183" s="4" t="s">
        <v>757</v>
      </c>
      <c r="H183" s="4" t="s">
        <v>758</v>
      </c>
      <c r="I183" s="4" t="s">
        <v>118</v>
      </c>
    </row>
    <row r="184" customFormat="false" ht="15" hidden="false" customHeight="false" outlineLevel="0" collapsed="false">
      <c r="A184" s="4" t="s">
        <v>759</v>
      </c>
      <c r="B184" s="4" t="s">
        <v>760</v>
      </c>
      <c r="C184" s="4" t="s">
        <v>382</v>
      </c>
      <c r="D184" s="4" t="s">
        <v>104</v>
      </c>
      <c r="E184" s="4" t="n">
        <v>32</v>
      </c>
      <c r="F184" s="4" t="n">
        <v>457849</v>
      </c>
      <c r="G184" s="4" t="s">
        <v>761</v>
      </c>
      <c r="H184" s="4" t="s">
        <v>762</v>
      </c>
      <c r="I184" s="4" t="s">
        <v>44</v>
      </c>
    </row>
    <row r="185" customFormat="false" ht="15" hidden="false" customHeight="false" outlineLevel="0" collapsed="false">
      <c r="A185" s="4" t="s">
        <v>763</v>
      </c>
      <c r="B185" s="4" t="s">
        <v>764</v>
      </c>
      <c r="C185" s="4" t="s">
        <v>316</v>
      </c>
      <c r="D185" s="4" t="s">
        <v>84</v>
      </c>
      <c r="E185" s="4" t="n">
        <v>47</v>
      </c>
      <c r="F185" s="4" t="n">
        <v>165031</v>
      </c>
      <c r="G185" s="4" t="s">
        <v>765</v>
      </c>
      <c r="H185" s="4" t="s">
        <v>500</v>
      </c>
      <c r="I185" s="4" t="s">
        <v>57</v>
      </c>
    </row>
    <row r="186" customFormat="false" ht="15" hidden="false" customHeight="false" outlineLevel="0" collapsed="false">
      <c r="A186" s="4" t="s">
        <v>766</v>
      </c>
      <c r="B186" s="4" t="s">
        <v>767</v>
      </c>
      <c r="C186" s="4" t="s">
        <v>40</v>
      </c>
      <c r="D186" s="4" t="s">
        <v>48</v>
      </c>
      <c r="E186" s="4" t="n">
        <v>42</v>
      </c>
      <c r="F186" s="4" t="n">
        <v>239367</v>
      </c>
      <c r="G186" s="4" t="s">
        <v>768</v>
      </c>
      <c r="H186" s="4" t="s">
        <v>509</v>
      </c>
      <c r="I186" s="4" t="s">
        <v>389</v>
      </c>
    </row>
    <row r="187" customFormat="false" ht="15" hidden="false" customHeight="false" outlineLevel="0" collapsed="false">
      <c r="A187" s="4" t="s">
        <v>769</v>
      </c>
      <c r="B187" s="4" t="s">
        <v>770</v>
      </c>
      <c r="C187" s="4" t="s">
        <v>202</v>
      </c>
      <c r="D187" s="4" t="s">
        <v>84</v>
      </c>
      <c r="E187" s="4" t="n">
        <v>49</v>
      </c>
      <c r="F187" s="4" t="n">
        <v>102317</v>
      </c>
      <c r="G187" s="4" t="s">
        <v>771</v>
      </c>
      <c r="H187" s="4" t="s">
        <v>772</v>
      </c>
      <c r="I187" s="4" t="s">
        <v>359</v>
      </c>
    </row>
    <row r="188" customFormat="false" ht="15" hidden="false" customHeight="false" outlineLevel="0" collapsed="false">
      <c r="A188" s="4" t="s">
        <v>773</v>
      </c>
      <c r="B188" s="4" t="s">
        <v>774</v>
      </c>
      <c r="C188" s="4" t="s">
        <v>53</v>
      </c>
      <c r="D188" s="4" t="s">
        <v>104</v>
      </c>
      <c r="E188" s="4" t="n">
        <v>57</v>
      </c>
      <c r="F188" s="4" t="n">
        <v>234139</v>
      </c>
      <c r="G188" s="4" t="s">
        <v>775</v>
      </c>
      <c r="H188" s="4" t="s">
        <v>776</v>
      </c>
      <c r="I188" s="4" t="s">
        <v>31</v>
      </c>
    </row>
    <row r="189" customFormat="false" ht="15" hidden="false" customHeight="false" outlineLevel="0" collapsed="false">
      <c r="A189" s="4" t="s">
        <v>777</v>
      </c>
      <c r="B189" s="4" t="s">
        <v>778</v>
      </c>
      <c r="C189" s="4" t="s">
        <v>185</v>
      </c>
      <c r="D189" s="4" t="s">
        <v>130</v>
      </c>
      <c r="E189" s="4" t="n">
        <v>27</v>
      </c>
      <c r="F189" s="4" t="n">
        <v>115210</v>
      </c>
      <c r="G189" s="4" t="s">
        <v>779</v>
      </c>
      <c r="H189" s="4" t="s">
        <v>780</v>
      </c>
      <c r="I189" s="4" t="s">
        <v>44</v>
      </c>
    </row>
    <row r="190" customFormat="false" ht="15" hidden="false" customHeight="false" outlineLevel="0" collapsed="false">
      <c r="A190" s="4" t="s">
        <v>781</v>
      </c>
      <c r="B190" s="4" t="s">
        <v>782</v>
      </c>
      <c r="C190" s="4" t="s">
        <v>434</v>
      </c>
      <c r="D190" s="4" t="s">
        <v>14</v>
      </c>
      <c r="E190" s="4" t="n">
        <v>58</v>
      </c>
      <c r="F190" s="4" t="n">
        <v>146083</v>
      </c>
      <c r="G190" s="4" t="s">
        <v>783</v>
      </c>
      <c r="H190" s="4" t="s">
        <v>784</v>
      </c>
      <c r="I190" s="4" t="s">
        <v>44</v>
      </c>
    </row>
    <row r="191" customFormat="false" ht="15" hidden="false" customHeight="false" outlineLevel="0" collapsed="false">
      <c r="A191" s="4" t="s">
        <v>785</v>
      </c>
      <c r="B191" s="4" t="s">
        <v>786</v>
      </c>
      <c r="C191" s="4" t="s">
        <v>316</v>
      </c>
      <c r="D191" s="4" t="s">
        <v>48</v>
      </c>
      <c r="E191" s="4" t="n">
        <v>22</v>
      </c>
      <c r="F191" s="4" t="n">
        <v>176220</v>
      </c>
      <c r="G191" s="4" t="s">
        <v>787</v>
      </c>
      <c r="H191" s="4" t="s">
        <v>788</v>
      </c>
      <c r="I191" s="4" t="s">
        <v>44</v>
      </c>
    </row>
    <row r="192" customFormat="false" ht="15" hidden="false" customHeight="false" outlineLevel="0" collapsed="false">
      <c r="A192" s="4" t="s">
        <v>789</v>
      </c>
      <c r="B192" s="4" t="s">
        <v>790</v>
      </c>
      <c r="C192" s="4" t="s">
        <v>47</v>
      </c>
      <c r="D192" s="4" t="s">
        <v>54</v>
      </c>
      <c r="E192" s="4" t="n">
        <v>29</v>
      </c>
      <c r="F192" s="4" t="n">
        <v>736904</v>
      </c>
      <c r="G192" s="4" t="s">
        <v>791</v>
      </c>
      <c r="H192" s="4" t="s">
        <v>101</v>
      </c>
      <c r="I192" s="4" t="s">
        <v>31</v>
      </c>
    </row>
    <row r="193" customFormat="false" ht="15" hidden="false" customHeight="false" outlineLevel="0" collapsed="false">
      <c r="A193" s="4" t="s">
        <v>792</v>
      </c>
      <c r="B193" s="4" t="s">
        <v>793</v>
      </c>
      <c r="C193" s="4" t="s">
        <v>140</v>
      </c>
      <c r="D193" s="4" t="s">
        <v>130</v>
      </c>
      <c r="E193" s="4" t="n">
        <v>39</v>
      </c>
      <c r="F193" s="4" t="n">
        <v>515825</v>
      </c>
      <c r="G193" s="4" t="s">
        <v>794</v>
      </c>
      <c r="H193" s="4" t="s">
        <v>795</v>
      </c>
      <c r="I193" s="4" t="s">
        <v>44</v>
      </c>
    </row>
    <row r="194" customFormat="false" ht="15" hidden="false" customHeight="false" outlineLevel="0" collapsed="false">
      <c r="A194" s="4" t="s">
        <v>796</v>
      </c>
      <c r="B194" s="4" t="s">
        <v>797</v>
      </c>
      <c r="C194" s="4" t="s">
        <v>94</v>
      </c>
      <c r="D194" s="4" t="s">
        <v>28</v>
      </c>
      <c r="E194" s="4" t="n">
        <v>39</v>
      </c>
      <c r="F194" s="4" t="n">
        <v>506292</v>
      </c>
      <c r="G194" s="4" t="s">
        <v>798</v>
      </c>
      <c r="H194" s="4" t="s">
        <v>250</v>
      </c>
      <c r="I194" s="4" t="s">
        <v>17</v>
      </c>
    </row>
    <row r="195" customFormat="false" ht="15" hidden="false" customHeight="false" outlineLevel="0" collapsed="false">
      <c r="A195" s="4" t="s">
        <v>799</v>
      </c>
      <c r="B195" s="4" t="s">
        <v>800</v>
      </c>
      <c r="C195" s="4" t="s">
        <v>53</v>
      </c>
      <c r="D195" s="4" t="s">
        <v>28</v>
      </c>
      <c r="E195" s="4" t="n">
        <v>51</v>
      </c>
      <c r="F195" s="4" t="n">
        <v>789759</v>
      </c>
      <c r="G195" s="4" t="s">
        <v>801</v>
      </c>
      <c r="H195" s="4" t="s">
        <v>802</v>
      </c>
      <c r="I195" s="4" t="s">
        <v>44</v>
      </c>
    </row>
    <row r="196" customFormat="false" ht="15" hidden="false" customHeight="false" outlineLevel="0" collapsed="false">
      <c r="A196" s="4" t="s">
        <v>803</v>
      </c>
      <c r="B196" s="4" t="s">
        <v>804</v>
      </c>
      <c r="C196" s="4" t="s">
        <v>146</v>
      </c>
      <c r="D196" s="4" t="s">
        <v>14</v>
      </c>
      <c r="E196" s="4" t="n">
        <v>22</v>
      </c>
      <c r="F196" s="4" t="n">
        <v>785996</v>
      </c>
      <c r="G196" s="4" t="s">
        <v>805</v>
      </c>
      <c r="H196" s="4" t="s">
        <v>806</v>
      </c>
      <c r="I196" s="4" t="s">
        <v>44</v>
      </c>
    </row>
    <row r="197" customFormat="false" ht="15" hidden="false" customHeight="false" outlineLevel="0" collapsed="false">
      <c r="A197" s="4" t="s">
        <v>807</v>
      </c>
      <c r="B197" s="4" t="s">
        <v>808</v>
      </c>
      <c r="C197" s="4" t="s">
        <v>202</v>
      </c>
      <c r="D197" s="4" t="s">
        <v>21</v>
      </c>
      <c r="E197" s="4" t="n">
        <v>51</v>
      </c>
      <c r="F197" s="4" t="s">
        <v>809</v>
      </c>
      <c r="G197" s="4" t="s">
        <v>810</v>
      </c>
      <c r="H197" s="4" t="s">
        <v>696</v>
      </c>
      <c r="I197" s="4" t="s">
        <v>17</v>
      </c>
    </row>
    <row r="198" customFormat="false" ht="15" hidden="false" customHeight="false" outlineLevel="0" collapsed="false">
      <c r="A198" s="4" t="s">
        <v>811</v>
      </c>
      <c r="B198" s="4" t="s">
        <v>812</v>
      </c>
      <c r="C198" s="4" t="s">
        <v>140</v>
      </c>
      <c r="D198" s="4" t="s">
        <v>130</v>
      </c>
      <c r="E198" s="4" t="n">
        <v>-5</v>
      </c>
      <c r="F198" s="4" t="n">
        <v>636582</v>
      </c>
      <c r="G198" s="4" t="s">
        <v>813</v>
      </c>
      <c r="H198" s="4" t="s">
        <v>164</v>
      </c>
      <c r="I198" s="4" t="s">
        <v>24</v>
      </c>
    </row>
    <row r="199" customFormat="false" ht="15" hidden="false" customHeight="false" outlineLevel="0" collapsed="false">
      <c r="A199" s="4" t="s">
        <v>814</v>
      </c>
      <c r="B199" s="4" t="s">
        <v>815</v>
      </c>
      <c r="C199" s="4" t="s">
        <v>140</v>
      </c>
      <c r="D199" s="4" t="s">
        <v>69</v>
      </c>
      <c r="E199" s="4" t="n">
        <v>39</v>
      </c>
      <c r="F199" s="4" t="n">
        <v>465758</v>
      </c>
      <c r="G199" s="4" t="s">
        <v>816</v>
      </c>
      <c r="H199" s="4" t="s">
        <v>817</v>
      </c>
      <c r="I199" s="4" t="s">
        <v>31</v>
      </c>
    </row>
    <row r="200" customFormat="false" ht="15" hidden="false" customHeight="false" outlineLevel="0" collapsed="false">
      <c r="A200" s="4" t="s">
        <v>818</v>
      </c>
      <c r="B200" s="4" t="s">
        <v>819</v>
      </c>
      <c r="C200" s="4" t="s">
        <v>216</v>
      </c>
      <c r="D200" s="4" t="s">
        <v>54</v>
      </c>
      <c r="E200" s="4" t="n">
        <v>51</v>
      </c>
      <c r="F200" s="4" t="n">
        <v>584973</v>
      </c>
      <c r="G200" s="4" t="s">
        <v>820</v>
      </c>
      <c r="H200" s="4" t="s">
        <v>821</v>
      </c>
      <c r="I200" s="4" t="s">
        <v>44</v>
      </c>
    </row>
    <row r="201" customFormat="false" ht="15" hidden="false" customHeight="false" outlineLevel="0" collapsed="false">
      <c r="A201" s="4" t="s">
        <v>822</v>
      </c>
      <c r="B201" s="4" t="s">
        <v>823</v>
      </c>
      <c r="C201" s="4" t="s">
        <v>94</v>
      </c>
      <c r="D201" s="4" t="s">
        <v>28</v>
      </c>
      <c r="E201" s="4" t="n">
        <v>5</v>
      </c>
      <c r="F201" s="4" t="n">
        <v>229587</v>
      </c>
      <c r="G201" s="4" t="s">
        <v>824</v>
      </c>
      <c r="H201" s="4" t="s">
        <v>825</v>
      </c>
      <c r="I201" s="4" t="s">
        <v>44</v>
      </c>
    </row>
    <row r="202" customFormat="false" ht="15" hidden="false" customHeight="false" outlineLevel="0" collapsed="false">
      <c r="A202" s="4" t="s">
        <v>826</v>
      </c>
      <c r="B202" s="4" t="s">
        <v>827</v>
      </c>
      <c r="C202" s="4" t="s">
        <v>99</v>
      </c>
      <c r="D202" s="4" t="s">
        <v>69</v>
      </c>
      <c r="E202" s="4" t="n">
        <v>39</v>
      </c>
      <c r="F202" s="4" t="n">
        <v>874997</v>
      </c>
      <c r="G202" s="4" t="s">
        <v>828</v>
      </c>
      <c r="H202" s="4" t="s">
        <v>829</v>
      </c>
      <c r="I202" s="4" t="s">
        <v>359</v>
      </c>
    </row>
    <row r="203" customFormat="false" ht="15" hidden="false" customHeight="false" outlineLevel="0" collapsed="false">
      <c r="A203" s="4" t="s">
        <v>830</v>
      </c>
      <c r="B203" s="4" t="s">
        <v>831</v>
      </c>
      <c r="C203" s="4" t="s">
        <v>434</v>
      </c>
      <c r="D203" s="4" t="s">
        <v>21</v>
      </c>
      <c r="E203" s="4" t="n">
        <v>23</v>
      </c>
      <c r="F203" s="4" t="n">
        <v>499163</v>
      </c>
      <c r="G203" s="4" t="s">
        <v>832</v>
      </c>
      <c r="H203" s="4" t="s">
        <v>833</v>
      </c>
      <c r="I203" s="4" t="s">
        <v>17</v>
      </c>
    </row>
    <row r="204" customFormat="false" ht="15" hidden="false" customHeight="false" outlineLevel="0" collapsed="false">
      <c r="A204" s="4" t="s">
        <v>834</v>
      </c>
      <c r="B204" s="4" t="s">
        <v>835</v>
      </c>
      <c r="C204" s="4" t="s">
        <v>211</v>
      </c>
      <c r="D204" s="4" t="s">
        <v>21</v>
      </c>
      <c r="E204" s="4" t="n">
        <v>59</v>
      </c>
      <c r="F204" s="4" t="n">
        <v>854101</v>
      </c>
      <c r="G204" s="4" t="s">
        <v>836</v>
      </c>
      <c r="H204" s="4" t="s">
        <v>837</v>
      </c>
      <c r="I204" s="4" t="s">
        <v>57</v>
      </c>
    </row>
    <row r="205" customFormat="false" ht="15" hidden="false" customHeight="false" outlineLevel="0" collapsed="false">
      <c r="A205" s="4" t="s">
        <v>838</v>
      </c>
      <c r="B205" s="4" t="s">
        <v>839</v>
      </c>
      <c r="C205" s="4" t="s">
        <v>53</v>
      </c>
      <c r="D205" s="4" t="s">
        <v>69</v>
      </c>
      <c r="E205" s="4" t="n">
        <v>44</v>
      </c>
      <c r="F205" s="4" t="n">
        <v>237908</v>
      </c>
      <c r="G205" s="4" t="s">
        <v>840</v>
      </c>
      <c r="H205" s="4" t="s">
        <v>841</v>
      </c>
      <c r="I205" s="4" t="s">
        <v>24</v>
      </c>
    </row>
    <row r="206" customFormat="false" ht="15" hidden="false" customHeight="false" outlineLevel="0" collapsed="false">
      <c r="A206" s="4" t="s">
        <v>842</v>
      </c>
      <c r="B206" s="4" t="s">
        <v>843</v>
      </c>
      <c r="C206" s="4" t="s">
        <v>211</v>
      </c>
      <c r="D206" s="4" t="s">
        <v>84</v>
      </c>
      <c r="E206" s="4" t="n">
        <v>39</v>
      </c>
      <c r="F206" s="4"/>
      <c r="G206" s="4" t="s">
        <v>844</v>
      </c>
      <c r="H206" s="4" t="s">
        <v>845</v>
      </c>
      <c r="I206" s="4" t="s">
        <v>24</v>
      </c>
    </row>
    <row r="207" customFormat="false" ht="15" hidden="false" customHeight="false" outlineLevel="0" collapsed="false">
      <c r="A207" s="4" t="s">
        <v>846</v>
      </c>
      <c r="B207" s="4" t="s">
        <v>847</v>
      </c>
      <c r="C207" s="4" t="s">
        <v>47</v>
      </c>
      <c r="D207" s="4" t="s">
        <v>41</v>
      </c>
      <c r="E207" s="4" t="n">
        <v>34</v>
      </c>
      <c r="F207" s="4" t="n">
        <v>534349</v>
      </c>
      <c r="G207" s="4" t="s">
        <v>848</v>
      </c>
      <c r="H207" s="4" t="s">
        <v>849</v>
      </c>
      <c r="I207" s="4" t="s">
        <v>17</v>
      </c>
    </row>
    <row r="208" customFormat="false" ht="15" hidden="false" customHeight="false" outlineLevel="0" collapsed="false">
      <c r="A208" s="4" t="s">
        <v>850</v>
      </c>
      <c r="B208" s="4" t="s">
        <v>851</v>
      </c>
      <c r="C208" s="4" t="s">
        <v>135</v>
      </c>
      <c r="D208" s="4" t="s">
        <v>14</v>
      </c>
      <c r="E208" s="4" t="n">
        <v>59</v>
      </c>
      <c r="F208" s="4" t="n">
        <v>696025</v>
      </c>
      <c r="G208" s="4" t="s">
        <v>852</v>
      </c>
      <c r="H208" s="4" t="s">
        <v>853</v>
      </c>
      <c r="I208" s="4" t="s">
        <v>57</v>
      </c>
    </row>
    <row r="209" customFormat="false" ht="15" hidden="false" customHeight="false" outlineLevel="0" collapsed="false">
      <c r="A209" s="4" t="s">
        <v>854</v>
      </c>
      <c r="B209" s="4" t="s">
        <v>855</v>
      </c>
      <c r="C209" s="4" t="s">
        <v>40</v>
      </c>
      <c r="D209" s="4" t="s">
        <v>104</v>
      </c>
      <c r="E209" s="4" t="n">
        <v>22</v>
      </c>
      <c r="F209" s="4" t="n">
        <v>383655</v>
      </c>
      <c r="G209" s="4" t="s">
        <v>856</v>
      </c>
      <c r="H209" s="4" t="s">
        <v>857</v>
      </c>
      <c r="I209" s="4" t="s">
        <v>17</v>
      </c>
    </row>
    <row r="210" customFormat="false" ht="15" hidden="false" customHeight="false" outlineLevel="0" collapsed="false">
      <c r="A210" s="4" t="s">
        <v>858</v>
      </c>
      <c r="B210" s="4" t="s">
        <v>859</v>
      </c>
      <c r="C210" s="4" t="s">
        <v>253</v>
      </c>
      <c r="D210" s="4" t="s">
        <v>104</v>
      </c>
      <c r="E210" s="4" t="n">
        <v>28</v>
      </c>
      <c r="F210" s="4" t="n">
        <v>820689</v>
      </c>
      <c r="G210" s="4" t="s">
        <v>860</v>
      </c>
      <c r="H210" s="4" t="s">
        <v>861</v>
      </c>
      <c r="I210" s="4" t="s">
        <v>31</v>
      </c>
    </row>
    <row r="211" customFormat="false" ht="15" hidden="false" customHeight="false" outlineLevel="0" collapsed="false">
      <c r="A211" s="4" t="s">
        <v>862</v>
      </c>
      <c r="B211" s="4" t="s">
        <v>863</v>
      </c>
      <c r="C211" s="4" t="s">
        <v>146</v>
      </c>
      <c r="D211" s="4" t="s">
        <v>104</v>
      </c>
      <c r="E211" s="4" t="n">
        <v>42</v>
      </c>
      <c r="F211" s="4" t="n">
        <v>483740</v>
      </c>
      <c r="G211" s="4" t="s">
        <v>864</v>
      </c>
      <c r="H211" s="4" t="s">
        <v>865</v>
      </c>
      <c r="I211" s="4" t="s">
        <v>359</v>
      </c>
    </row>
    <row r="212" customFormat="false" ht="15" hidden="false" customHeight="false" outlineLevel="0" collapsed="false">
      <c r="A212" s="4" t="s">
        <v>866</v>
      </c>
      <c r="B212" s="4" t="s">
        <v>124</v>
      </c>
      <c r="C212" s="4" t="s">
        <v>244</v>
      </c>
      <c r="D212" s="4" t="s">
        <v>54</v>
      </c>
      <c r="E212" s="4" t="n">
        <v>29</v>
      </c>
      <c r="F212" s="4" t="n">
        <v>897728</v>
      </c>
      <c r="G212" s="4" t="s">
        <v>867</v>
      </c>
      <c r="H212" s="4" t="s">
        <v>126</v>
      </c>
      <c r="I212" s="4" t="s">
        <v>24</v>
      </c>
    </row>
    <row r="213" customFormat="false" ht="15" hidden="false" customHeight="false" outlineLevel="0" collapsed="false">
      <c r="A213" s="4" t="s">
        <v>868</v>
      </c>
      <c r="B213" s="4" t="s">
        <v>869</v>
      </c>
      <c r="C213" s="4" t="s">
        <v>167</v>
      </c>
      <c r="D213" s="4" t="s">
        <v>21</v>
      </c>
      <c r="E213" s="4" t="n">
        <v>53</v>
      </c>
      <c r="F213" s="4" t="n">
        <v>373148</v>
      </c>
      <c r="G213" s="4" t="s">
        <v>735</v>
      </c>
      <c r="H213" s="4" t="s">
        <v>218</v>
      </c>
      <c r="I213" s="4" t="s">
        <v>44</v>
      </c>
    </row>
    <row r="214" customFormat="false" ht="15" hidden="false" customHeight="false" outlineLevel="0" collapsed="false">
      <c r="A214" s="4" t="s">
        <v>870</v>
      </c>
      <c r="B214" s="4" t="s">
        <v>871</v>
      </c>
      <c r="C214" s="4" t="s">
        <v>298</v>
      </c>
      <c r="D214" s="4" t="s">
        <v>41</v>
      </c>
      <c r="E214" s="4" t="n">
        <v>42</v>
      </c>
      <c r="F214" s="4" t="n">
        <v>438296</v>
      </c>
      <c r="G214" s="4" t="s">
        <v>872</v>
      </c>
      <c r="H214" s="4" t="s">
        <v>873</v>
      </c>
      <c r="I214" s="4" t="s">
        <v>31</v>
      </c>
    </row>
    <row r="215" customFormat="false" ht="15" hidden="false" customHeight="false" outlineLevel="0" collapsed="false">
      <c r="A215" s="4" t="s">
        <v>874</v>
      </c>
      <c r="B215" s="4" t="s">
        <v>875</v>
      </c>
      <c r="C215" s="4" t="s">
        <v>89</v>
      </c>
      <c r="D215" s="4" t="s">
        <v>14</v>
      </c>
      <c r="E215" s="4" t="n">
        <v>60</v>
      </c>
      <c r="F215" s="4" t="n">
        <v>493511</v>
      </c>
      <c r="G215" s="4" t="s">
        <v>876</v>
      </c>
      <c r="H215" s="4" t="s">
        <v>877</v>
      </c>
      <c r="I215" s="4" t="s">
        <v>17</v>
      </c>
    </row>
    <row r="216" customFormat="false" ht="15" hidden="false" customHeight="false" outlineLevel="0" collapsed="false">
      <c r="A216" s="4" t="s">
        <v>878</v>
      </c>
      <c r="B216" s="4" t="s">
        <v>879</v>
      </c>
      <c r="C216" s="4" t="s">
        <v>53</v>
      </c>
      <c r="D216" s="4" t="s">
        <v>48</v>
      </c>
      <c r="E216" s="4" t="n">
        <v>25</v>
      </c>
      <c r="F216" s="4" t="n">
        <v>460485</v>
      </c>
      <c r="G216" s="4" t="s">
        <v>880</v>
      </c>
      <c r="H216" s="4" t="s">
        <v>881</v>
      </c>
      <c r="I216" s="4" t="s">
        <v>44</v>
      </c>
    </row>
    <row r="217" customFormat="false" ht="15" hidden="false" customHeight="false" outlineLevel="0" collapsed="false">
      <c r="A217" s="4" t="s">
        <v>882</v>
      </c>
      <c r="B217" s="4" t="s">
        <v>883</v>
      </c>
      <c r="C217" s="4" t="s">
        <v>216</v>
      </c>
      <c r="D217" s="4" t="s">
        <v>21</v>
      </c>
      <c r="E217" s="4" t="n">
        <v>24</v>
      </c>
      <c r="F217" s="4" t="n">
        <v>923233</v>
      </c>
      <c r="G217" s="4" t="s">
        <v>884</v>
      </c>
      <c r="H217" s="4" t="s">
        <v>885</v>
      </c>
      <c r="I217" s="4" t="s">
        <v>24</v>
      </c>
    </row>
    <row r="218" customFormat="false" ht="15" hidden="false" customHeight="false" outlineLevel="0" collapsed="false">
      <c r="A218" s="4" t="s">
        <v>886</v>
      </c>
      <c r="B218" s="4" t="s">
        <v>887</v>
      </c>
      <c r="C218" s="4" t="s">
        <v>262</v>
      </c>
      <c r="D218" s="4" t="s">
        <v>41</v>
      </c>
      <c r="E218" s="4" t="n">
        <v>24</v>
      </c>
      <c r="F218" s="4" t="n">
        <v>250026</v>
      </c>
      <c r="G218" s="4" t="s">
        <v>888</v>
      </c>
      <c r="H218" s="4" t="s">
        <v>889</v>
      </c>
      <c r="I218" s="4" t="s">
        <v>44</v>
      </c>
    </row>
    <row r="219" customFormat="false" ht="15" hidden="false" customHeight="false" outlineLevel="0" collapsed="false">
      <c r="A219" s="4" t="s">
        <v>890</v>
      </c>
      <c r="B219" s="4" t="s">
        <v>891</v>
      </c>
      <c r="C219" s="4" t="s">
        <v>298</v>
      </c>
      <c r="D219" s="4" t="s">
        <v>104</v>
      </c>
      <c r="E219" s="4" t="n">
        <v>22</v>
      </c>
      <c r="F219" s="4" t="n">
        <v>193040</v>
      </c>
      <c r="G219" s="4" t="s">
        <v>892</v>
      </c>
      <c r="H219" s="4" t="s">
        <v>893</v>
      </c>
      <c r="I219" s="4" t="s">
        <v>44</v>
      </c>
    </row>
    <row r="220" customFormat="false" ht="15" hidden="false" customHeight="false" outlineLevel="0" collapsed="false">
      <c r="A220" s="4" t="s">
        <v>894</v>
      </c>
      <c r="B220" s="4" t="s">
        <v>895</v>
      </c>
      <c r="C220" s="4" t="s">
        <v>83</v>
      </c>
      <c r="D220" s="4" t="s">
        <v>84</v>
      </c>
      <c r="E220" s="4" t="n">
        <v>22</v>
      </c>
      <c r="F220" s="4" t="n">
        <v>130665</v>
      </c>
      <c r="G220" s="4" t="s">
        <v>896</v>
      </c>
      <c r="H220" s="4" t="s">
        <v>897</v>
      </c>
      <c r="I220" s="4" t="s">
        <v>17</v>
      </c>
    </row>
    <row r="221" customFormat="false" ht="15" hidden="false" customHeight="false" outlineLevel="0" collapsed="false">
      <c r="A221" s="4" t="s">
        <v>898</v>
      </c>
      <c r="B221" s="4" t="s">
        <v>899</v>
      </c>
      <c r="C221" s="4" t="s">
        <v>60</v>
      </c>
      <c r="D221" s="4" t="s">
        <v>41</v>
      </c>
      <c r="E221" s="4" t="n">
        <v>29</v>
      </c>
      <c r="F221" s="4" t="s">
        <v>900</v>
      </c>
      <c r="G221" s="4" t="s">
        <v>901</v>
      </c>
      <c r="H221" s="4" t="s">
        <v>902</v>
      </c>
      <c r="I221" s="4" t="s">
        <v>31</v>
      </c>
    </row>
    <row r="222" customFormat="false" ht="15" hidden="false" customHeight="false" outlineLevel="0" collapsed="false">
      <c r="A222" s="4" t="s">
        <v>903</v>
      </c>
      <c r="B222" s="4" t="s">
        <v>904</v>
      </c>
      <c r="C222" s="4" t="s">
        <v>94</v>
      </c>
      <c r="D222" s="4" t="s">
        <v>84</v>
      </c>
      <c r="E222" s="4" t="n">
        <v>52</v>
      </c>
      <c r="F222" s="4" t="n">
        <v>706887</v>
      </c>
      <c r="G222" s="4" t="s">
        <v>905</v>
      </c>
      <c r="H222" s="4" t="s">
        <v>906</v>
      </c>
      <c r="I222" s="4" t="s">
        <v>389</v>
      </c>
    </row>
    <row r="223" customFormat="false" ht="15" hidden="false" customHeight="false" outlineLevel="0" collapsed="false">
      <c r="A223" s="4" t="s">
        <v>907</v>
      </c>
      <c r="B223" s="4" t="s">
        <v>908</v>
      </c>
      <c r="C223" s="4" t="s">
        <v>276</v>
      </c>
      <c r="D223" s="4" t="s">
        <v>84</v>
      </c>
      <c r="E223" s="4"/>
      <c r="F223" s="4" t="n">
        <v>429317</v>
      </c>
      <c r="G223" s="4" t="s">
        <v>909</v>
      </c>
      <c r="H223" s="4" t="s">
        <v>910</v>
      </c>
      <c r="I223" s="4" t="s">
        <v>17</v>
      </c>
    </row>
    <row r="224" customFormat="false" ht="15" hidden="false" customHeight="false" outlineLevel="0" collapsed="false">
      <c r="A224" s="4" t="s">
        <v>911</v>
      </c>
      <c r="B224" s="4" t="s">
        <v>912</v>
      </c>
      <c r="C224" s="4" t="s">
        <v>262</v>
      </c>
      <c r="D224" s="4" t="s">
        <v>69</v>
      </c>
      <c r="E224" s="4" t="n">
        <v>32</v>
      </c>
      <c r="F224" s="4" t="n">
        <v>844813</v>
      </c>
      <c r="G224" s="4" t="s">
        <v>913</v>
      </c>
      <c r="H224" s="4" t="s">
        <v>914</v>
      </c>
      <c r="I224" s="4" t="s">
        <v>24</v>
      </c>
    </row>
    <row r="225" customFormat="false" ht="15" hidden="false" customHeight="false" outlineLevel="0" collapsed="false">
      <c r="A225" s="4" t="s">
        <v>915</v>
      </c>
      <c r="B225" s="4" t="s">
        <v>215</v>
      </c>
      <c r="C225" s="4" t="s">
        <v>146</v>
      </c>
      <c r="D225" s="4" t="s">
        <v>14</v>
      </c>
      <c r="E225" s="4" t="n">
        <v>27</v>
      </c>
      <c r="F225" s="4" t="n">
        <v>288922</v>
      </c>
      <c r="G225" s="4" t="s">
        <v>916</v>
      </c>
      <c r="H225" s="4" t="s">
        <v>218</v>
      </c>
      <c r="I225" s="4" t="s">
        <v>17</v>
      </c>
    </row>
    <row r="226" customFormat="false" ht="15" hidden="false" customHeight="false" outlineLevel="0" collapsed="false">
      <c r="A226" s="4" t="s">
        <v>917</v>
      </c>
      <c r="B226" s="4" t="s">
        <v>918</v>
      </c>
      <c r="C226" s="4" t="s">
        <v>202</v>
      </c>
      <c r="D226" s="4" t="s">
        <v>48</v>
      </c>
      <c r="E226" s="4" t="n">
        <v>38</v>
      </c>
      <c r="F226" s="4" t="n">
        <v>121511</v>
      </c>
      <c r="G226" s="4" t="s">
        <v>919</v>
      </c>
      <c r="H226" s="4" t="s">
        <v>920</v>
      </c>
      <c r="I226" s="4" t="s">
        <v>389</v>
      </c>
    </row>
    <row r="227" customFormat="false" ht="15" hidden="false" customHeight="false" outlineLevel="0" collapsed="false">
      <c r="A227" s="4" t="s">
        <v>921</v>
      </c>
      <c r="B227" s="4" t="s">
        <v>922</v>
      </c>
      <c r="C227" s="4" t="s">
        <v>89</v>
      </c>
      <c r="D227" s="4" t="s">
        <v>130</v>
      </c>
      <c r="E227" s="4" t="n">
        <v>23</v>
      </c>
      <c r="F227" s="4" t="n">
        <v>285989</v>
      </c>
      <c r="G227" s="4" t="s">
        <v>923</v>
      </c>
      <c r="H227" s="4" t="s">
        <v>806</v>
      </c>
      <c r="I227" s="4" t="s">
        <v>31</v>
      </c>
    </row>
    <row r="228" customFormat="false" ht="15" hidden="false" customHeight="false" outlineLevel="0" collapsed="false">
      <c r="A228" s="4" t="s">
        <v>924</v>
      </c>
      <c r="B228" s="4" t="s">
        <v>925</v>
      </c>
      <c r="C228" s="4" t="s">
        <v>135</v>
      </c>
      <c r="D228" s="4" t="s">
        <v>84</v>
      </c>
      <c r="E228" s="4" t="n">
        <v>56</v>
      </c>
      <c r="F228" s="4"/>
      <c r="G228" s="4" t="s">
        <v>926</v>
      </c>
      <c r="H228" s="4" t="s">
        <v>927</v>
      </c>
      <c r="I228" s="4" t="s">
        <v>31</v>
      </c>
    </row>
    <row r="229" customFormat="false" ht="15" hidden="false" customHeight="false" outlineLevel="0" collapsed="false">
      <c r="A229" s="4" t="s">
        <v>928</v>
      </c>
      <c r="B229" s="4" t="s">
        <v>929</v>
      </c>
      <c r="C229" s="4" t="s">
        <v>211</v>
      </c>
      <c r="D229" s="4" t="s">
        <v>41</v>
      </c>
      <c r="E229" s="4" t="n">
        <v>49</v>
      </c>
      <c r="F229" s="4" t="n">
        <v>608840</v>
      </c>
      <c r="G229" s="4" t="s">
        <v>930</v>
      </c>
      <c r="H229" s="4" t="s">
        <v>931</v>
      </c>
      <c r="I229" s="4" t="s">
        <v>44</v>
      </c>
    </row>
    <row r="230" customFormat="false" ht="15" hidden="false" customHeight="false" outlineLevel="0" collapsed="false">
      <c r="A230" s="4" t="s">
        <v>842</v>
      </c>
      <c r="B230" s="4" t="s">
        <v>843</v>
      </c>
      <c r="C230" s="4" t="s">
        <v>211</v>
      </c>
      <c r="D230" s="4" t="s">
        <v>84</v>
      </c>
      <c r="E230" s="4" t="n">
        <v>39</v>
      </c>
      <c r="F230" s="4"/>
      <c r="G230" s="4" t="s">
        <v>844</v>
      </c>
      <c r="H230" s="4" t="s">
        <v>845</v>
      </c>
      <c r="I230" s="4" t="s">
        <v>24</v>
      </c>
    </row>
    <row r="231" customFormat="false" ht="15" hidden="false" customHeight="false" outlineLevel="0" collapsed="false">
      <c r="A231" s="4" t="s">
        <v>705</v>
      </c>
      <c r="B231" s="4" t="s">
        <v>706</v>
      </c>
      <c r="C231" s="4" t="s">
        <v>140</v>
      </c>
      <c r="D231" s="4" t="s">
        <v>28</v>
      </c>
      <c r="E231" s="4" t="n">
        <v>59</v>
      </c>
      <c r="F231" s="4" t="n">
        <v>491633</v>
      </c>
      <c r="G231" s="4" t="s">
        <v>707</v>
      </c>
      <c r="H231" s="4" t="s">
        <v>708</v>
      </c>
      <c r="I231" s="4" t="s">
        <v>31</v>
      </c>
    </row>
    <row r="232" customFormat="false" ht="15" hidden="false" customHeight="false" outlineLevel="0" collapsed="false">
      <c r="A232" s="4" t="s">
        <v>932</v>
      </c>
      <c r="B232" s="4" t="s">
        <v>223</v>
      </c>
      <c r="C232" s="4" t="s">
        <v>108</v>
      </c>
      <c r="D232" s="4" t="s">
        <v>21</v>
      </c>
      <c r="E232" s="4" t="n">
        <v>36</v>
      </c>
      <c r="F232" s="4" t="n">
        <v>142267</v>
      </c>
      <c r="G232" s="4" t="s">
        <v>933</v>
      </c>
      <c r="H232" s="4" t="s">
        <v>934</v>
      </c>
      <c r="I232" s="4" t="s">
        <v>17</v>
      </c>
    </row>
    <row r="233" customFormat="false" ht="15" hidden="false" customHeight="false" outlineLevel="0" collapsed="false">
      <c r="A233" s="4" t="s">
        <v>935</v>
      </c>
      <c r="B233" s="4" t="s">
        <v>936</v>
      </c>
      <c r="C233" s="4" t="s">
        <v>185</v>
      </c>
      <c r="D233" s="4" t="s">
        <v>130</v>
      </c>
      <c r="E233" s="4"/>
      <c r="F233" s="4" t="n">
        <v>103586</v>
      </c>
      <c r="G233" s="4" t="s">
        <v>937</v>
      </c>
      <c r="H233" s="4" t="s">
        <v>938</v>
      </c>
      <c r="I233" s="4" t="s">
        <v>17</v>
      </c>
    </row>
    <row r="234" customFormat="false" ht="15" hidden="false" customHeight="false" outlineLevel="0" collapsed="false">
      <c r="A234" s="4" t="s">
        <v>939</v>
      </c>
      <c r="B234" s="4" t="s">
        <v>940</v>
      </c>
      <c r="C234" s="4" t="s">
        <v>216</v>
      </c>
      <c r="D234" s="4" t="s">
        <v>28</v>
      </c>
      <c r="E234" s="4" t="n">
        <v>40</v>
      </c>
      <c r="F234" s="4"/>
      <c r="G234" s="4" t="s">
        <v>941</v>
      </c>
      <c r="H234" s="4" t="s">
        <v>942</v>
      </c>
      <c r="I234" s="4" t="s">
        <v>31</v>
      </c>
    </row>
    <row r="235" customFormat="false" ht="15" hidden="false" customHeight="false" outlineLevel="0" collapsed="false">
      <c r="A235" s="4" t="s">
        <v>943</v>
      </c>
      <c r="B235" s="4" t="s">
        <v>944</v>
      </c>
      <c r="C235" s="4" t="s">
        <v>83</v>
      </c>
      <c r="D235" s="4" t="s">
        <v>21</v>
      </c>
      <c r="E235" s="4" t="n">
        <v>21</v>
      </c>
      <c r="F235" s="4" t="n">
        <v>604614</v>
      </c>
      <c r="G235" s="4" t="s">
        <v>945</v>
      </c>
      <c r="H235" s="4" t="s">
        <v>946</v>
      </c>
      <c r="I235" s="4" t="s">
        <v>24</v>
      </c>
    </row>
    <row r="236" customFormat="false" ht="15" hidden="false" customHeight="false" outlineLevel="0" collapsed="false">
      <c r="A236" s="4" t="s">
        <v>947</v>
      </c>
      <c r="B236" s="4" t="s">
        <v>948</v>
      </c>
      <c r="C236" s="4" t="s">
        <v>262</v>
      </c>
      <c r="D236" s="4" t="s">
        <v>48</v>
      </c>
      <c r="E236" s="4" t="n">
        <v>32</v>
      </c>
      <c r="F236" s="4" t="n">
        <v>127364</v>
      </c>
      <c r="G236" s="4" t="s">
        <v>949</v>
      </c>
      <c r="H236" s="4" t="s">
        <v>950</v>
      </c>
      <c r="I236" s="4" t="s">
        <v>24</v>
      </c>
    </row>
    <row r="237" customFormat="false" ht="15" hidden="false" customHeight="false" outlineLevel="0" collapsed="false">
      <c r="A237" s="4" t="s">
        <v>951</v>
      </c>
      <c r="B237" s="4" t="s">
        <v>952</v>
      </c>
      <c r="C237" s="4" t="s">
        <v>40</v>
      </c>
      <c r="D237" s="4" t="s">
        <v>69</v>
      </c>
      <c r="E237" s="4" t="n">
        <v>46</v>
      </c>
      <c r="F237" s="4" t="n">
        <v>46766500</v>
      </c>
      <c r="G237" s="4" t="s">
        <v>953</v>
      </c>
      <c r="H237" s="4" t="s">
        <v>954</v>
      </c>
      <c r="I237" s="4" t="s">
        <v>31</v>
      </c>
    </row>
    <row r="238" customFormat="false" ht="15" hidden="false" customHeight="false" outlineLevel="0" collapsed="false">
      <c r="A238" s="4" t="s">
        <v>955</v>
      </c>
      <c r="B238" s="4" t="s">
        <v>956</v>
      </c>
      <c r="C238" s="4" t="s">
        <v>185</v>
      </c>
      <c r="D238" s="4" t="s">
        <v>48</v>
      </c>
      <c r="E238" s="4" t="n">
        <v>42</v>
      </c>
      <c r="F238" s="4" t="n">
        <v>279492</v>
      </c>
      <c r="G238" s="4" t="s">
        <v>957</v>
      </c>
      <c r="H238" s="4" t="s">
        <v>958</v>
      </c>
      <c r="I238" s="4" t="s">
        <v>24</v>
      </c>
    </row>
    <row r="239" customFormat="false" ht="15" hidden="false" customHeight="false" outlineLevel="0" collapsed="false">
      <c r="A239" s="4" t="s">
        <v>959</v>
      </c>
      <c r="B239" s="4" t="s">
        <v>960</v>
      </c>
      <c r="C239" s="4" t="s">
        <v>382</v>
      </c>
      <c r="D239" s="4" t="s">
        <v>48</v>
      </c>
      <c r="E239" s="4" t="n">
        <v>43</v>
      </c>
      <c r="F239" s="4" t="n">
        <v>40059900</v>
      </c>
      <c r="G239" s="4" t="s">
        <v>961</v>
      </c>
      <c r="H239" s="4" t="s">
        <v>806</v>
      </c>
      <c r="I239" s="4" t="s">
        <v>17</v>
      </c>
    </row>
    <row r="240" customFormat="false" ht="15" hidden="false" customHeight="false" outlineLevel="0" collapsed="false">
      <c r="A240" s="4" t="s">
        <v>962</v>
      </c>
      <c r="B240" s="4" t="s">
        <v>686</v>
      </c>
      <c r="C240" s="4" t="s">
        <v>40</v>
      </c>
      <c r="D240" s="4" t="s">
        <v>28</v>
      </c>
      <c r="E240" s="4" t="n">
        <v>43</v>
      </c>
      <c r="F240" s="4" t="n">
        <v>815408</v>
      </c>
      <c r="G240" s="4" t="s">
        <v>963</v>
      </c>
      <c r="H240" s="4" t="s">
        <v>964</v>
      </c>
      <c r="I240" s="4" t="s">
        <v>17</v>
      </c>
    </row>
    <row r="241" customFormat="false" ht="15" hidden="false" customHeight="false" outlineLevel="0" collapsed="false">
      <c r="A241" s="4" t="s">
        <v>965</v>
      </c>
      <c r="B241" s="4" t="s">
        <v>966</v>
      </c>
      <c r="C241" s="4" t="s">
        <v>60</v>
      </c>
      <c r="D241" s="4" t="s">
        <v>21</v>
      </c>
      <c r="E241" s="4" t="n">
        <v>30</v>
      </c>
      <c r="F241" s="4" t="n">
        <v>266048</v>
      </c>
      <c r="G241" s="4" t="s">
        <v>967</v>
      </c>
      <c r="H241" s="4" t="s">
        <v>968</v>
      </c>
      <c r="I241" s="4" t="s">
        <v>17</v>
      </c>
    </row>
    <row r="242" customFormat="false" ht="15" hidden="false" customHeight="false" outlineLevel="0" collapsed="false">
      <c r="A242" s="4" t="s">
        <v>969</v>
      </c>
      <c r="B242" s="4" t="s">
        <v>970</v>
      </c>
      <c r="C242" s="4" t="s">
        <v>216</v>
      </c>
      <c r="D242" s="4" t="s">
        <v>48</v>
      </c>
      <c r="E242" s="4" t="n">
        <v>34</v>
      </c>
      <c r="F242" s="4" t="n">
        <v>87583</v>
      </c>
      <c r="G242" s="4" t="s">
        <v>971</v>
      </c>
      <c r="H242" s="4" t="s">
        <v>358</v>
      </c>
      <c r="I242" s="4" t="s">
        <v>17</v>
      </c>
    </row>
    <row r="243" customFormat="false" ht="15" hidden="false" customHeight="false" outlineLevel="0" collapsed="false">
      <c r="A243" s="4" t="s">
        <v>972</v>
      </c>
      <c r="B243" s="4" t="s">
        <v>973</v>
      </c>
      <c r="C243" s="4" t="s">
        <v>244</v>
      </c>
      <c r="D243" s="4" t="s">
        <v>69</v>
      </c>
      <c r="E243" s="4" t="n">
        <v>37</v>
      </c>
      <c r="F243" s="4" t="n">
        <v>120093</v>
      </c>
      <c r="G243" s="4" t="s">
        <v>974</v>
      </c>
      <c r="H243" s="4" t="s">
        <v>975</v>
      </c>
      <c r="I243" s="4" t="s">
        <v>44</v>
      </c>
    </row>
    <row r="244" customFormat="false" ht="15" hidden="false" customHeight="false" outlineLevel="0" collapsed="false">
      <c r="A244" s="4" t="s">
        <v>976</v>
      </c>
      <c r="B244" s="4" t="s">
        <v>977</v>
      </c>
      <c r="C244" s="4" t="s">
        <v>129</v>
      </c>
      <c r="D244" s="4" t="s">
        <v>28</v>
      </c>
      <c r="E244" s="4" t="n">
        <v>31</v>
      </c>
      <c r="F244" s="4" t="n">
        <v>910602</v>
      </c>
      <c r="G244" s="4" t="s">
        <v>978</v>
      </c>
      <c r="H244" s="4" t="s">
        <v>979</v>
      </c>
      <c r="I244" s="4" t="s">
        <v>44</v>
      </c>
    </row>
    <row r="245" customFormat="false" ht="15" hidden="false" customHeight="false" outlineLevel="0" collapsed="false">
      <c r="A245" s="4" t="s">
        <v>980</v>
      </c>
      <c r="B245" s="4" t="s">
        <v>981</v>
      </c>
      <c r="C245" s="4" t="s">
        <v>94</v>
      </c>
      <c r="D245" s="4" t="s">
        <v>21</v>
      </c>
      <c r="E245" s="4" t="n">
        <v>56</v>
      </c>
      <c r="F245" s="4" t="n">
        <v>770864</v>
      </c>
      <c r="G245" s="4" t="s">
        <v>982</v>
      </c>
      <c r="H245" s="4" t="s">
        <v>983</v>
      </c>
      <c r="I245" s="4" t="s">
        <v>44</v>
      </c>
    </row>
    <row r="246" customFormat="false" ht="15" hidden="false" customHeight="false" outlineLevel="0" collapsed="false">
      <c r="A246" s="4" t="s">
        <v>984</v>
      </c>
      <c r="B246" s="4" t="s">
        <v>985</v>
      </c>
      <c r="C246" s="4" t="s">
        <v>267</v>
      </c>
      <c r="D246" s="4" t="s">
        <v>104</v>
      </c>
      <c r="E246" s="4" t="n">
        <v>999</v>
      </c>
      <c r="F246" s="4" t="n">
        <v>614909</v>
      </c>
      <c r="G246" s="4" t="s">
        <v>986</v>
      </c>
      <c r="H246" s="4" t="s">
        <v>987</v>
      </c>
      <c r="I246" s="4" t="s">
        <v>44</v>
      </c>
    </row>
    <row r="247" customFormat="false" ht="15" hidden="false" customHeight="false" outlineLevel="0" collapsed="false">
      <c r="A247" s="4" t="s">
        <v>988</v>
      </c>
      <c r="B247" s="4" t="s">
        <v>989</v>
      </c>
      <c r="C247" s="4" t="s">
        <v>382</v>
      </c>
      <c r="D247" s="4" t="s">
        <v>21</v>
      </c>
      <c r="E247" s="4"/>
      <c r="F247" s="4" t="n">
        <v>534710</v>
      </c>
      <c r="G247" s="4" t="s">
        <v>990</v>
      </c>
      <c r="H247" s="4" t="s">
        <v>784</v>
      </c>
      <c r="I247" s="4" t="s">
        <v>31</v>
      </c>
    </row>
    <row r="248" customFormat="false" ht="15" hidden="false" customHeight="false" outlineLevel="0" collapsed="false">
      <c r="A248" s="4" t="s">
        <v>991</v>
      </c>
      <c r="B248" s="4" t="s">
        <v>992</v>
      </c>
      <c r="C248" s="4" t="s">
        <v>20</v>
      </c>
      <c r="D248" s="4" t="s">
        <v>84</v>
      </c>
      <c r="E248" s="4" t="n">
        <v>27</v>
      </c>
      <c r="F248" s="4" t="n">
        <v>286266</v>
      </c>
      <c r="G248" s="4" t="s">
        <v>993</v>
      </c>
      <c r="H248" s="4" t="s">
        <v>994</v>
      </c>
      <c r="I248" s="4" t="s">
        <v>17</v>
      </c>
    </row>
    <row r="249" customFormat="false" ht="15" hidden="false" customHeight="false" outlineLevel="0" collapsed="false">
      <c r="A249" s="4" t="s">
        <v>995</v>
      </c>
      <c r="B249" s="4" t="s">
        <v>996</v>
      </c>
      <c r="C249" s="4" t="s">
        <v>83</v>
      </c>
      <c r="D249" s="4" t="s">
        <v>28</v>
      </c>
      <c r="E249" s="4" t="n">
        <v>5</v>
      </c>
      <c r="F249" s="4" t="n">
        <v>744690</v>
      </c>
      <c r="G249" s="4" t="s">
        <v>794</v>
      </c>
      <c r="H249" s="4" t="s">
        <v>291</v>
      </c>
      <c r="I249" s="4" t="s">
        <v>31</v>
      </c>
    </row>
    <row r="250" customFormat="false" ht="15" hidden="false" customHeight="false" outlineLevel="0" collapsed="false">
      <c r="A250" s="4" t="s">
        <v>997</v>
      </c>
      <c r="B250" s="4" t="s">
        <v>998</v>
      </c>
      <c r="C250" s="4" t="s">
        <v>53</v>
      </c>
      <c r="D250" s="4" t="s">
        <v>84</v>
      </c>
      <c r="E250" s="4" t="n">
        <v>28</v>
      </c>
      <c r="F250" s="4" t="n">
        <v>401857</v>
      </c>
      <c r="G250" s="4" t="s">
        <v>999</v>
      </c>
      <c r="H250" s="4" t="s">
        <v>1000</v>
      </c>
      <c r="I250" s="4" t="s">
        <v>389</v>
      </c>
    </row>
    <row r="251" customFormat="false" ht="15" hidden="false" customHeight="false" outlineLevel="0" collapsed="false">
      <c r="A251" s="4" t="s">
        <v>1001</v>
      </c>
      <c r="B251" s="4" t="s">
        <v>1002</v>
      </c>
      <c r="C251" s="4" t="s">
        <v>244</v>
      </c>
      <c r="D251" s="4" t="s">
        <v>41</v>
      </c>
      <c r="E251" s="4" t="n">
        <v>27</v>
      </c>
      <c r="F251" s="4" t="n">
        <v>-83010</v>
      </c>
      <c r="G251" s="4" t="s">
        <v>1003</v>
      </c>
      <c r="H251" s="4" t="s">
        <v>1004</v>
      </c>
      <c r="I251" s="4" t="s">
        <v>24</v>
      </c>
    </row>
    <row r="252" customFormat="false" ht="15" hidden="false" customHeight="false" outlineLevel="0" collapsed="false">
      <c r="A252" s="4" t="s">
        <v>1005</v>
      </c>
      <c r="B252" s="4" t="s">
        <v>1006</v>
      </c>
      <c r="C252" s="4" t="s">
        <v>108</v>
      </c>
      <c r="D252" s="4" t="s">
        <v>28</v>
      </c>
      <c r="E252" s="4" t="n">
        <v>42</v>
      </c>
      <c r="F252" s="4" t="n">
        <v>84123</v>
      </c>
      <c r="G252" s="4" t="s">
        <v>1007</v>
      </c>
      <c r="H252" s="4" t="s">
        <v>1008</v>
      </c>
      <c r="I252" s="4" t="s">
        <v>57</v>
      </c>
    </row>
    <row r="253" customFormat="false" ht="15" hidden="false" customHeight="false" outlineLevel="0" collapsed="false">
      <c r="A253" s="4" t="s">
        <v>1009</v>
      </c>
      <c r="B253" s="4" t="s">
        <v>717</v>
      </c>
      <c r="C253" s="4" t="s">
        <v>220</v>
      </c>
      <c r="D253" s="4" t="s">
        <v>84</v>
      </c>
      <c r="E253" s="4" t="n">
        <v>44</v>
      </c>
      <c r="F253" s="4" t="n">
        <v>622526</v>
      </c>
      <c r="G253" s="4" t="s">
        <v>1010</v>
      </c>
      <c r="H253" s="4" t="s">
        <v>719</v>
      </c>
      <c r="I253" s="4" t="s">
        <v>44</v>
      </c>
    </row>
    <row r="254" customFormat="false" ht="15" hidden="false" customHeight="false" outlineLevel="0" collapsed="false">
      <c r="A254" s="4" t="s">
        <v>1011</v>
      </c>
      <c r="B254" s="4" t="s">
        <v>1012</v>
      </c>
      <c r="C254" s="4" t="s">
        <v>211</v>
      </c>
      <c r="D254" s="4" t="s">
        <v>28</v>
      </c>
      <c r="E254" s="4" t="n">
        <v>51</v>
      </c>
      <c r="F254" s="4" t="n">
        <v>571746</v>
      </c>
      <c r="G254" s="4" t="s">
        <v>1013</v>
      </c>
      <c r="H254" s="4" t="s">
        <v>1014</v>
      </c>
      <c r="I254" s="4" t="s">
        <v>44</v>
      </c>
    </row>
    <row r="255" customFormat="false" ht="15" hidden="false" customHeight="false" outlineLevel="0" collapsed="false">
      <c r="A255" s="4" t="s">
        <v>1015</v>
      </c>
      <c r="B255" s="4" t="s">
        <v>1016</v>
      </c>
      <c r="C255" s="4" t="s">
        <v>94</v>
      </c>
      <c r="D255" s="4" t="s">
        <v>28</v>
      </c>
      <c r="E255" s="4" t="n">
        <v>37</v>
      </c>
      <c r="F255" s="4" t="n">
        <v>687303</v>
      </c>
      <c r="G255" s="4" t="s">
        <v>1017</v>
      </c>
      <c r="H255" s="4" t="s">
        <v>1018</v>
      </c>
      <c r="I255" s="4" t="s">
        <v>44</v>
      </c>
    </row>
    <row r="256" customFormat="false" ht="15" hidden="false" customHeight="false" outlineLevel="0" collapsed="false">
      <c r="A256" s="4" t="s">
        <v>1019</v>
      </c>
      <c r="B256" s="4" t="s">
        <v>1020</v>
      </c>
      <c r="C256" s="4" t="s">
        <v>167</v>
      </c>
      <c r="D256" s="4" t="s">
        <v>21</v>
      </c>
      <c r="E256" s="4" t="n">
        <v>59</v>
      </c>
      <c r="F256" s="4" t="n">
        <v>557871</v>
      </c>
      <c r="G256" s="4" t="s">
        <v>1021</v>
      </c>
      <c r="H256" s="4" t="s">
        <v>1022</v>
      </c>
      <c r="I256" s="4" t="s">
        <v>31</v>
      </c>
    </row>
    <row r="257" customFormat="false" ht="15" hidden="false" customHeight="false" outlineLevel="0" collapsed="false">
      <c r="A257" s="4" t="s">
        <v>1023</v>
      </c>
      <c r="B257" s="4" t="s">
        <v>1024</v>
      </c>
      <c r="C257" s="4" t="s">
        <v>20</v>
      </c>
      <c r="D257" s="4" t="s">
        <v>21</v>
      </c>
      <c r="E257" s="4" t="n">
        <v>45</v>
      </c>
      <c r="F257" s="4" t="n">
        <v>711014</v>
      </c>
      <c r="G257" s="4" t="s">
        <v>1025</v>
      </c>
      <c r="H257" s="4" t="s">
        <v>1026</v>
      </c>
      <c r="I257" s="4" t="s">
        <v>24</v>
      </c>
    </row>
    <row r="258" customFormat="false" ht="15" hidden="false" customHeight="false" outlineLevel="0" collapsed="false">
      <c r="A258" s="4" t="s">
        <v>1027</v>
      </c>
      <c r="B258" s="4" t="s">
        <v>1028</v>
      </c>
      <c r="C258" s="4" t="s">
        <v>202</v>
      </c>
      <c r="D258" s="4" t="s">
        <v>69</v>
      </c>
      <c r="E258" s="4" t="n">
        <v>42</v>
      </c>
      <c r="F258" s="4" t="n">
        <v>-480164</v>
      </c>
      <c r="G258" s="4" t="s">
        <v>1029</v>
      </c>
      <c r="H258" s="4" t="s">
        <v>1030</v>
      </c>
      <c r="I258" s="4" t="s">
        <v>44</v>
      </c>
    </row>
    <row r="259" customFormat="false" ht="15" hidden="false" customHeight="false" outlineLevel="0" collapsed="false">
      <c r="A259" s="4" t="s">
        <v>1031</v>
      </c>
      <c r="B259" s="4" t="s">
        <v>68</v>
      </c>
      <c r="C259" s="4" t="s">
        <v>47</v>
      </c>
      <c r="D259" s="4" t="s">
        <v>48</v>
      </c>
      <c r="E259" s="4" t="n">
        <v>40</v>
      </c>
      <c r="F259" s="4" t="n">
        <v>825157</v>
      </c>
      <c r="G259" s="4" t="s">
        <v>1032</v>
      </c>
      <c r="H259" s="4" t="s">
        <v>1033</v>
      </c>
      <c r="I259" s="4" t="s">
        <v>389</v>
      </c>
    </row>
    <row r="260" customFormat="false" ht="15" hidden="false" customHeight="false" outlineLevel="0" collapsed="false">
      <c r="A260" s="4" t="s">
        <v>1034</v>
      </c>
      <c r="B260" s="4" t="s">
        <v>1035</v>
      </c>
      <c r="C260" s="4" t="s">
        <v>523</v>
      </c>
      <c r="D260" s="4" t="s">
        <v>54</v>
      </c>
      <c r="E260" s="4" t="n">
        <v>38</v>
      </c>
      <c r="F260" s="4" t="n">
        <v>693913</v>
      </c>
      <c r="G260" s="4" t="s">
        <v>1036</v>
      </c>
      <c r="H260" s="4" t="s">
        <v>1037</v>
      </c>
      <c r="I260" s="4" t="s">
        <v>359</v>
      </c>
    </row>
    <row r="261" customFormat="false" ht="15" hidden="false" customHeight="false" outlineLevel="0" collapsed="false">
      <c r="A261" s="4" t="s">
        <v>1038</v>
      </c>
      <c r="B261" s="4" t="s">
        <v>1039</v>
      </c>
      <c r="C261" s="4" t="s">
        <v>167</v>
      </c>
      <c r="D261" s="4" t="s">
        <v>41</v>
      </c>
      <c r="E261" s="4" t="n">
        <v>43</v>
      </c>
      <c r="F261" s="4" t="n">
        <v>625073</v>
      </c>
      <c r="G261" s="4" t="s">
        <v>1040</v>
      </c>
      <c r="H261" s="4" t="s">
        <v>1041</v>
      </c>
      <c r="I261" s="4" t="s">
        <v>44</v>
      </c>
    </row>
    <row r="262" customFormat="false" ht="15" hidden="false" customHeight="false" outlineLevel="0" collapsed="false">
      <c r="A262" s="4" t="s">
        <v>1042</v>
      </c>
      <c r="B262" s="4" t="s">
        <v>1043</v>
      </c>
      <c r="C262" s="4" t="s">
        <v>382</v>
      </c>
      <c r="D262" s="4" t="s">
        <v>69</v>
      </c>
      <c r="E262" s="4" t="n">
        <v>30</v>
      </c>
      <c r="F262" s="4" t="n">
        <v>540294</v>
      </c>
      <c r="G262" s="4" t="s">
        <v>1044</v>
      </c>
      <c r="H262" s="4" t="s">
        <v>1045</v>
      </c>
      <c r="I262" s="4" t="s">
        <v>31</v>
      </c>
    </row>
    <row r="263" customFormat="false" ht="15" hidden="false" customHeight="false" outlineLevel="0" collapsed="false">
      <c r="A263" s="4" t="s">
        <v>1046</v>
      </c>
      <c r="B263" s="4" t="s">
        <v>1047</v>
      </c>
      <c r="C263" s="4" t="s">
        <v>185</v>
      </c>
      <c r="D263" s="4" t="s">
        <v>28</v>
      </c>
      <c r="E263" s="4"/>
      <c r="F263" s="4" t="n">
        <v>663203</v>
      </c>
      <c r="G263" s="4" t="s">
        <v>1048</v>
      </c>
      <c r="H263" s="4" t="s">
        <v>1049</v>
      </c>
      <c r="I263" s="4" t="s">
        <v>17</v>
      </c>
    </row>
    <row r="264" customFormat="false" ht="15" hidden="false" customHeight="false" outlineLevel="0" collapsed="false">
      <c r="A264" s="4" t="s">
        <v>1050</v>
      </c>
      <c r="B264" s="4" t="s">
        <v>1051</v>
      </c>
      <c r="C264" s="4" t="s">
        <v>167</v>
      </c>
      <c r="D264" s="4" t="s">
        <v>104</v>
      </c>
      <c r="E264" s="4" t="n">
        <v>29</v>
      </c>
      <c r="F264" s="4" t="n">
        <v>752042</v>
      </c>
      <c r="G264" s="4" t="s">
        <v>1052</v>
      </c>
      <c r="H264" s="4" t="s">
        <v>1053</v>
      </c>
      <c r="I264" s="4" t="s">
        <v>17</v>
      </c>
    </row>
    <row r="265" customFormat="false" ht="15" hidden="false" customHeight="false" outlineLevel="0" collapsed="false">
      <c r="A265" s="4" t="s">
        <v>1054</v>
      </c>
      <c r="B265" s="4" t="s">
        <v>1055</v>
      </c>
      <c r="C265" s="4" t="s">
        <v>60</v>
      </c>
      <c r="D265" s="4" t="s">
        <v>130</v>
      </c>
      <c r="E265" s="4" t="n">
        <v>36</v>
      </c>
      <c r="F265" s="4" t="n">
        <v>126760</v>
      </c>
      <c r="G265" s="4" t="s">
        <v>1056</v>
      </c>
      <c r="H265" s="4" t="s">
        <v>1057</v>
      </c>
      <c r="I265" s="4" t="s">
        <v>44</v>
      </c>
    </row>
    <row r="266" customFormat="false" ht="15" hidden="false" customHeight="false" outlineLevel="0" collapsed="false">
      <c r="A266" s="4" t="s">
        <v>682</v>
      </c>
      <c r="B266" s="4" t="s">
        <v>683</v>
      </c>
      <c r="C266" s="4" t="s">
        <v>167</v>
      </c>
      <c r="D266" s="4" t="s">
        <v>69</v>
      </c>
      <c r="E266" s="4" t="n">
        <v>44</v>
      </c>
      <c r="F266" s="4" t="n">
        <v>640632</v>
      </c>
      <c r="G266" s="4" t="s">
        <v>684</v>
      </c>
      <c r="H266" s="4" t="s">
        <v>500</v>
      </c>
      <c r="I266" s="4" t="s">
        <v>57</v>
      </c>
    </row>
    <row r="267" customFormat="false" ht="15" hidden="false" customHeight="false" outlineLevel="0" collapsed="false">
      <c r="A267" s="4" t="s">
        <v>1058</v>
      </c>
      <c r="B267" s="4" t="s">
        <v>445</v>
      </c>
      <c r="C267" s="4" t="s">
        <v>60</v>
      </c>
      <c r="D267" s="4" t="s">
        <v>41</v>
      </c>
      <c r="E267" s="4" t="n">
        <v>58</v>
      </c>
      <c r="F267" s="4" t="n">
        <v>543461</v>
      </c>
      <c r="G267" s="4" t="s">
        <v>1059</v>
      </c>
      <c r="H267" s="4" t="s">
        <v>447</v>
      </c>
      <c r="I267" s="4" t="s">
        <v>118</v>
      </c>
    </row>
    <row r="268" customFormat="false" ht="15" hidden="false" customHeight="false" outlineLevel="0" collapsed="false">
      <c r="A268" s="4" t="s">
        <v>1060</v>
      </c>
      <c r="B268" s="4" t="s">
        <v>1061</v>
      </c>
      <c r="C268" s="4" t="s">
        <v>267</v>
      </c>
      <c r="D268" s="4" t="s">
        <v>84</v>
      </c>
      <c r="E268" s="4" t="n">
        <v>37</v>
      </c>
      <c r="F268" s="4" t="n">
        <v>852366</v>
      </c>
      <c r="G268" s="4" t="s">
        <v>1062</v>
      </c>
      <c r="H268" s="4" t="s">
        <v>1004</v>
      </c>
      <c r="I268" s="4" t="s">
        <v>389</v>
      </c>
    </row>
    <row r="269" customFormat="false" ht="15" hidden="false" customHeight="false" outlineLevel="0" collapsed="false">
      <c r="A269" s="4" t="s">
        <v>1063</v>
      </c>
      <c r="B269" s="4" t="s">
        <v>1064</v>
      </c>
      <c r="C269" s="4" t="s">
        <v>434</v>
      </c>
      <c r="D269" s="4" t="s">
        <v>130</v>
      </c>
      <c r="E269" s="4" t="n">
        <v>52</v>
      </c>
      <c r="F269" s="4" t="n">
        <v>785263</v>
      </c>
      <c r="G269" s="4" t="s">
        <v>1065</v>
      </c>
      <c r="H269" s="4" t="s">
        <v>1066</v>
      </c>
      <c r="I269" s="4" t="s">
        <v>359</v>
      </c>
    </row>
    <row r="270" customFormat="false" ht="15" hidden="false" customHeight="false" outlineLevel="0" collapsed="false">
      <c r="A270" s="4" t="s">
        <v>1067</v>
      </c>
      <c r="B270" s="4" t="s">
        <v>1068</v>
      </c>
      <c r="C270" s="4" t="s">
        <v>60</v>
      </c>
      <c r="D270" s="4" t="s">
        <v>28</v>
      </c>
      <c r="E270" s="4" t="n">
        <v>46</v>
      </c>
      <c r="F270" s="4" t="n">
        <v>493767</v>
      </c>
      <c r="G270" s="4" t="s">
        <v>1069</v>
      </c>
      <c r="H270" s="4" t="s">
        <v>645</v>
      </c>
      <c r="I270" s="4" t="s">
        <v>31</v>
      </c>
    </row>
    <row r="271" customFormat="false" ht="15" hidden="false" customHeight="false" outlineLevel="0" collapsed="false">
      <c r="A271" s="4" t="s">
        <v>1070</v>
      </c>
      <c r="B271" s="4" t="s">
        <v>1071</v>
      </c>
      <c r="C271" s="4" t="s">
        <v>60</v>
      </c>
      <c r="D271" s="4" t="s">
        <v>130</v>
      </c>
      <c r="E271" s="4" t="n">
        <v>46</v>
      </c>
      <c r="F271" s="4" t="n">
        <v>174614</v>
      </c>
      <c r="G271" s="4" t="s">
        <v>1072</v>
      </c>
      <c r="H271" s="4" t="s">
        <v>1073</v>
      </c>
      <c r="I271" s="4" t="s">
        <v>44</v>
      </c>
    </row>
    <row r="272" customFormat="false" ht="15" hidden="false" customHeight="false" outlineLevel="0" collapsed="false">
      <c r="A272" s="4" t="s">
        <v>1074</v>
      </c>
      <c r="B272" s="4" t="s">
        <v>394</v>
      </c>
      <c r="C272" s="4" t="s">
        <v>211</v>
      </c>
      <c r="D272" s="4" t="s">
        <v>130</v>
      </c>
      <c r="E272" s="4" t="n">
        <v>44</v>
      </c>
      <c r="F272" s="4" t="n">
        <v>685406</v>
      </c>
      <c r="G272" s="4" t="s">
        <v>1075</v>
      </c>
      <c r="H272" s="4" t="s">
        <v>396</v>
      </c>
      <c r="I272" s="4" t="s">
        <v>37</v>
      </c>
    </row>
    <row r="273" customFormat="false" ht="15" hidden="false" customHeight="false" outlineLevel="0" collapsed="false">
      <c r="A273" s="4" t="s">
        <v>1076</v>
      </c>
      <c r="B273" s="4" t="s">
        <v>1077</v>
      </c>
      <c r="C273" s="4" t="s">
        <v>202</v>
      </c>
      <c r="D273" s="4" t="s">
        <v>104</v>
      </c>
      <c r="E273" s="4" t="n">
        <v>23</v>
      </c>
      <c r="F273" s="4"/>
      <c r="G273" s="4" t="s">
        <v>1078</v>
      </c>
      <c r="H273" s="4" t="s">
        <v>1079</v>
      </c>
      <c r="I273" s="4" t="s">
        <v>31</v>
      </c>
    </row>
    <row r="274" customFormat="false" ht="15" hidden="false" customHeight="false" outlineLevel="0" collapsed="false">
      <c r="A274" s="4" t="s">
        <v>1080</v>
      </c>
      <c r="B274" s="4" t="s">
        <v>871</v>
      </c>
      <c r="C274" s="4" t="s">
        <v>523</v>
      </c>
      <c r="D274" s="4" t="s">
        <v>69</v>
      </c>
      <c r="E274" s="4" t="n">
        <v>41</v>
      </c>
      <c r="F274" s="4" t="n">
        <v>108913</v>
      </c>
      <c r="G274" s="4" t="s">
        <v>1081</v>
      </c>
      <c r="H274" s="4" t="s">
        <v>873</v>
      </c>
      <c r="I274" s="4" t="s">
        <v>44</v>
      </c>
    </row>
    <row r="275" customFormat="false" ht="15" hidden="false" customHeight="false" outlineLevel="0" collapsed="false">
      <c r="A275" s="4" t="s">
        <v>430</v>
      </c>
      <c r="B275" s="4" t="s">
        <v>391</v>
      </c>
      <c r="C275" s="4" t="s">
        <v>382</v>
      </c>
      <c r="D275" s="4" t="s">
        <v>41</v>
      </c>
      <c r="E275" s="4" t="n">
        <v>31</v>
      </c>
      <c r="F275" s="4" t="n">
        <v>725818</v>
      </c>
      <c r="G275" s="4" t="s">
        <v>431</v>
      </c>
      <c r="H275" s="4" t="s">
        <v>273</v>
      </c>
      <c r="I275" s="4" t="s">
        <v>31</v>
      </c>
    </row>
    <row r="276" customFormat="false" ht="15" hidden="false" customHeight="false" outlineLevel="0" collapsed="false">
      <c r="A276" s="4" t="s">
        <v>1082</v>
      </c>
      <c r="B276" s="4" t="s">
        <v>1083</v>
      </c>
      <c r="C276" s="4" t="s">
        <v>47</v>
      </c>
      <c r="D276" s="4" t="s">
        <v>84</v>
      </c>
      <c r="E276" s="4" t="n">
        <v>26</v>
      </c>
      <c r="F276" s="4" t="n">
        <v>517503</v>
      </c>
      <c r="G276" s="4" t="s">
        <v>1084</v>
      </c>
      <c r="H276" s="4" t="s">
        <v>1085</v>
      </c>
      <c r="I276" s="4" t="s">
        <v>44</v>
      </c>
    </row>
    <row r="277" customFormat="false" ht="15" hidden="false" customHeight="false" outlineLevel="0" collapsed="false">
      <c r="A277" s="4" t="s">
        <v>1086</v>
      </c>
      <c r="B277" s="4" t="s">
        <v>1087</v>
      </c>
      <c r="C277" s="4" t="s">
        <v>253</v>
      </c>
      <c r="D277" s="4" t="s">
        <v>54</v>
      </c>
      <c r="E277" s="4" t="n">
        <v>39</v>
      </c>
      <c r="F277" s="4" t="n">
        <v>517661</v>
      </c>
      <c r="G277" s="4" t="s">
        <v>1088</v>
      </c>
      <c r="H277" s="4" t="s">
        <v>1089</v>
      </c>
      <c r="I277" s="4" t="s">
        <v>44</v>
      </c>
    </row>
    <row r="278" customFormat="false" ht="15" hidden="false" customHeight="false" outlineLevel="0" collapsed="false">
      <c r="A278" s="4" t="s">
        <v>1090</v>
      </c>
      <c r="B278" s="4" t="s">
        <v>1091</v>
      </c>
      <c r="C278" s="4" t="s">
        <v>40</v>
      </c>
      <c r="D278" s="4" t="s">
        <v>84</v>
      </c>
      <c r="E278" s="4" t="n">
        <v>58</v>
      </c>
      <c r="F278" s="4" t="n">
        <v>95713</v>
      </c>
      <c r="G278" s="4" t="s">
        <v>1092</v>
      </c>
      <c r="H278" s="4" t="s">
        <v>1093</v>
      </c>
      <c r="I278" s="4" t="s">
        <v>44</v>
      </c>
    </row>
    <row r="279" customFormat="false" ht="15" hidden="false" customHeight="false" outlineLevel="0" collapsed="false">
      <c r="A279" s="4" t="s">
        <v>747</v>
      </c>
      <c r="B279" s="4" t="s">
        <v>748</v>
      </c>
      <c r="C279" s="4" t="s">
        <v>253</v>
      </c>
      <c r="D279" s="4" t="s">
        <v>28</v>
      </c>
      <c r="E279" s="4" t="n">
        <v>30</v>
      </c>
      <c r="F279" s="4" t="n">
        <v>781262</v>
      </c>
      <c r="G279" s="4" t="s">
        <v>749</v>
      </c>
      <c r="H279" s="4" t="s">
        <v>750</v>
      </c>
      <c r="I279" s="4" t="s">
        <v>118</v>
      </c>
    </row>
    <row r="280" customFormat="false" ht="15" hidden="false" customHeight="false" outlineLevel="0" collapsed="false">
      <c r="A280" s="4" t="s">
        <v>1094</v>
      </c>
      <c r="B280" s="4" t="s">
        <v>1095</v>
      </c>
      <c r="C280" s="4" t="s">
        <v>253</v>
      </c>
      <c r="D280" s="4" t="s">
        <v>14</v>
      </c>
      <c r="E280" s="4" t="n">
        <v>49</v>
      </c>
      <c r="F280" s="4" t="n">
        <v>571425</v>
      </c>
      <c r="G280" s="4" t="s">
        <v>1096</v>
      </c>
      <c r="H280" s="4" t="s">
        <v>1097</v>
      </c>
      <c r="I280" s="4" t="s">
        <v>44</v>
      </c>
    </row>
    <row r="281" customFormat="false" ht="15" hidden="false" customHeight="false" outlineLevel="0" collapsed="false">
      <c r="A281" s="4" t="s">
        <v>1098</v>
      </c>
      <c r="B281" s="4" t="s">
        <v>1099</v>
      </c>
      <c r="C281" s="4" t="s">
        <v>20</v>
      </c>
      <c r="D281" s="4" t="s">
        <v>14</v>
      </c>
      <c r="E281" s="4"/>
      <c r="F281" s="4" t="n">
        <v>478791</v>
      </c>
      <c r="G281" s="4" t="s">
        <v>1100</v>
      </c>
      <c r="H281" s="4" t="s">
        <v>459</v>
      </c>
      <c r="I281" s="4" t="s">
        <v>24</v>
      </c>
    </row>
    <row r="282" customFormat="false" ht="15" hidden="false" customHeight="false" outlineLevel="0" collapsed="false">
      <c r="A282" s="4" t="s">
        <v>1101</v>
      </c>
      <c r="B282" s="4" t="s">
        <v>1102</v>
      </c>
      <c r="C282" s="4" t="s">
        <v>298</v>
      </c>
      <c r="D282" s="4" t="s">
        <v>104</v>
      </c>
      <c r="E282" s="4" t="n">
        <v>53</v>
      </c>
      <c r="F282" s="4" t="n">
        <v>331287</v>
      </c>
      <c r="G282" s="4" t="s">
        <v>1103</v>
      </c>
      <c r="H282" s="4" t="s">
        <v>1104</v>
      </c>
      <c r="I282" s="4" t="s">
        <v>17</v>
      </c>
    </row>
    <row r="283" customFormat="false" ht="15" hidden="false" customHeight="false" outlineLevel="0" collapsed="false">
      <c r="A283" s="4" t="s">
        <v>1105</v>
      </c>
      <c r="B283" s="4" t="s">
        <v>1106</v>
      </c>
      <c r="C283" s="4" t="s">
        <v>248</v>
      </c>
      <c r="D283" s="4" t="s">
        <v>104</v>
      </c>
      <c r="E283" s="4" t="n">
        <v>46</v>
      </c>
      <c r="F283" s="4" t="n">
        <v>332055</v>
      </c>
      <c r="G283" s="4" t="s">
        <v>1107</v>
      </c>
      <c r="H283" s="4" t="s">
        <v>1108</v>
      </c>
      <c r="I283" s="4" t="s">
        <v>389</v>
      </c>
    </row>
    <row r="284" customFormat="false" ht="15" hidden="false" customHeight="false" outlineLevel="0" collapsed="false">
      <c r="A284" s="4" t="s">
        <v>1109</v>
      </c>
      <c r="B284" s="4" t="s">
        <v>1110</v>
      </c>
      <c r="C284" s="4" t="s">
        <v>47</v>
      </c>
      <c r="D284" s="4" t="s">
        <v>104</v>
      </c>
      <c r="E284" s="4" t="n">
        <v>49</v>
      </c>
      <c r="F284" s="4"/>
      <c r="G284" s="4" t="s">
        <v>1111</v>
      </c>
      <c r="H284" s="4" t="s">
        <v>829</v>
      </c>
      <c r="I284" s="4" t="s">
        <v>44</v>
      </c>
    </row>
    <row r="285" customFormat="false" ht="15" hidden="false" customHeight="false" outlineLevel="0" collapsed="false">
      <c r="A285" s="4" t="s">
        <v>1112</v>
      </c>
      <c r="B285" s="4" t="s">
        <v>1113</v>
      </c>
      <c r="C285" s="4" t="s">
        <v>74</v>
      </c>
      <c r="D285" s="4" t="s">
        <v>54</v>
      </c>
      <c r="E285" s="4" t="n">
        <v>36</v>
      </c>
      <c r="F285" s="4" t="n">
        <v>78156300</v>
      </c>
      <c r="G285" s="4" t="s">
        <v>1114</v>
      </c>
      <c r="H285" s="4" t="s">
        <v>1115</v>
      </c>
      <c r="I285" s="4" t="s">
        <v>17</v>
      </c>
    </row>
    <row r="286" customFormat="false" ht="15" hidden="false" customHeight="false" outlineLevel="0" collapsed="false">
      <c r="A286" s="4" t="s">
        <v>1116</v>
      </c>
      <c r="B286" s="4" t="s">
        <v>1117</v>
      </c>
      <c r="C286" s="4" t="s">
        <v>60</v>
      </c>
      <c r="D286" s="4" t="s">
        <v>21</v>
      </c>
      <c r="E286" s="4" t="n">
        <v>30</v>
      </c>
      <c r="F286" s="4" t="n">
        <v>463493</v>
      </c>
      <c r="G286" s="4" t="s">
        <v>1118</v>
      </c>
      <c r="H286" s="4" t="s">
        <v>1119</v>
      </c>
      <c r="I286" s="4" t="s">
        <v>24</v>
      </c>
    </row>
    <row r="287" customFormat="false" ht="15" hidden="false" customHeight="false" outlineLevel="0" collapsed="false">
      <c r="A287" s="4" t="s">
        <v>1120</v>
      </c>
      <c r="B287" s="4" t="s">
        <v>1121</v>
      </c>
      <c r="C287" s="4" t="s">
        <v>74</v>
      </c>
      <c r="D287" s="4" t="s">
        <v>54</v>
      </c>
      <c r="E287" s="4" t="n">
        <v>210</v>
      </c>
      <c r="F287" s="4" t="n">
        <v>675082</v>
      </c>
      <c r="G287" s="4" t="s">
        <v>1122</v>
      </c>
      <c r="H287" s="4" t="s">
        <v>1123</v>
      </c>
      <c r="I287" s="4" t="s">
        <v>359</v>
      </c>
    </row>
    <row r="288" customFormat="false" ht="15" hidden="false" customHeight="false" outlineLevel="0" collapsed="false">
      <c r="A288" s="4" t="s">
        <v>1124</v>
      </c>
      <c r="B288" s="4" t="s">
        <v>1125</v>
      </c>
      <c r="C288" s="4" t="s">
        <v>135</v>
      </c>
      <c r="D288" s="4" t="s">
        <v>41</v>
      </c>
      <c r="E288" s="4" t="n">
        <v>41</v>
      </c>
      <c r="F288" s="4" t="n">
        <v>918438</v>
      </c>
      <c r="G288" s="4" t="s">
        <v>1126</v>
      </c>
      <c r="H288" s="4" t="s">
        <v>1127</v>
      </c>
      <c r="I288" s="4" t="s">
        <v>31</v>
      </c>
    </row>
    <row r="289" customFormat="false" ht="15" hidden="false" customHeight="false" outlineLevel="0" collapsed="false">
      <c r="A289" s="4" t="s">
        <v>1128</v>
      </c>
      <c r="B289" s="4" t="s">
        <v>1129</v>
      </c>
      <c r="C289" s="4" t="s">
        <v>211</v>
      </c>
      <c r="D289" s="4" t="s">
        <v>104</v>
      </c>
      <c r="E289" s="4" t="n">
        <v>22</v>
      </c>
      <c r="F289" s="4" t="n">
        <v>101558</v>
      </c>
      <c r="G289" s="4" t="s">
        <v>1130</v>
      </c>
      <c r="H289" s="4" t="s">
        <v>1131</v>
      </c>
      <c r="I289" s="4" t="s">
        <v>31</v>
      </c>
    </row>
    <row r="290" customFormat="false" ht="15" hidden="false" customHeight="false" outlineLevel="0" collapsed="false">
      <c r="A290" s="4" t="s">
        <v>1132</v>
      </c>
      <c r="B290" s="4" t="s">
        <v>1133</v>
      </c>
      <c r="C290" s="4" t="s">
        <v>220</v>
      </c>
      <c r="D290" s="4" t="s">
        <v>41</v>
      </c>
      <c r="E290" s="4" t="n">
        <v>35</v>
      </c>
      <c r="F290" s="4" t="n">
        <v>241877</v>
      </c>
      <c r="G290" s="4" t="s">
        <v>1134</v>
      </c>
      <c r="H290" s="4" t="s">
        <v>1135</v>
      </c>
      <c r="I290" s="4" t="s">
        <v>24</v>
      </c>
    </row>
    <row r="291" customFormat="false" ht="15" hidden="false" customHeight="false" outlineLevel="0" collapsed="false">
      <c r="A291" s="4" t="s">
        <v>1136</v>
      </c>
      <c r="B291" s="4" t="s">
        <v>922</v>
      </c>
      <c r="C291" s="4" t="s">
        <v>99</v>
      </c>
      <c r="D291" s="4" t="s">
        <v>130</v>
      </c>
      <c r="E291" s="4" t="n">
        <v>26</v>
      </c>
      <c r="F291" s="4" t="n">
        <v>902309</v>
      </c>
      <c r="G291" s="4" t="s">
        <v>1137</v>
      </c>
      <c r="H291" s="4" t="s">
        <v>806</v>
      </c>
      <c r="I291" s="4" t="s">
        <v>44</v>
      </c>
    </row>
    <row r="292" customFormat="false" ht="15" hidden="false" customHeight="false" outlineLevel="0" collapsed="false">
      <c r="A292" s="4" t="s">
        <v>1138</v>
      </c>
      <c r="B292" s="4" t="s">
        <v>1139</v>
      </c>
      <c r="C292" s="4" t="s">
        <v>167</v>
      </c>
      <c r="D292" s="4" t="s">
        <v>28</v>
      </c>
      <c r="E292" s="4" t="n">
        <v>41</v>
      </c>
      <c r="F292" s="4" t="n">
        <v>176672</v>
      </c>
      <c r="G292" s="4" t="s">
        <v>1140</v>
      </c>
      <c r="H292" s="4" t="s">
        <v>1141</v>
      </c>
      <c r="I292" s="4" t="s">
        <v>37</v>
      </c>
    </row>
    <row r="293" customFormat="false" ht="15" hidden="false" customHeight="false" outlineLevel="0" collapsed="false">
      <c r="A293" s="4" t="s">
        <v>1142</v>
      </c>
      <c r="B293" s="4" t="s">
        <v>1143</v>
      </c>
      <c r="C293" s="4" t="s">
        <v>89</v>
      </c>
      <c r="D293" s="4" t="s">
        <v>84</v>
      </c>
      <c r="E293" s="4" t="n">
        <v>36</v>
      </c>
      <c r="F293" s="4" t="n">
        <v>447452</v>
      </c>
      <c r="G293" s="4" t="s">
        <v>1144</v>
      </c>
      <c r="H293" s="4" t="s">
        <v>1145</v>
      </c>
      <c r="I293" s="4" t="s">
        <v>44</v>
      </c>
    </row>
    <row r="294" customFormat="false" ht="15" hidden="false" customHeight="false" outlineLevel="0" collapsed="false">
      <c r="A294" s="4" t="s">
        <v>1146</v>
      </c>
      <c r="B294" s="4" t="s">
        <v>1147</v>
      </c>
      <c r="C294" s="4" t="s">
        <v>53</v>
      </c>
      <c r="D294" s="4" t="s">
        <v>48</v>
      </c>
      <c r="E294" s="4" t="n">
        <v>999</v>
      </c>
      <c r="F294" s="4" t="n">
        <v>479165</v>
      </c>
      <c r="G294" s="4" t="s">
        <v>1148</v>
      </c>
      <c r="H294" s="4" t="s">
        <v>259</v>
      </c>
      <c r="I294" s="4" t="s">
        <v>24</v>
      </c>
    </row>
    <row r="295" customFormat="false" ht="15" hidden="false" customHeight="false" outlineLevel="0" collapsed="false">
      <c r="A295" s="4" t="s">
        <v>1149</v>
      </c>
      <c r="B295" s="4" t="s">
        <v>1150</v>
      </c>
      <c r="C295" s="4" t="s">
        <v>40</v>
      </c>
      <c r="D295" s="4" t="s">
        <v>41</v>
      </c>
      <c r="E295" s="4"/>
      <c r="F295" s="4" t="n">
        <v>208369</v>
      </c>
      <c r="G295" s="4" t="s">
        <v>1151</v>
      </c>
      <c r="H295" s="4" t="s">
        <v>1152</v>
      </c>
      <c r="I295" s="4" t="s">
        <v>24</v>
      </c>
    </row>
    <row r="296" customFormat="false" ht="15" hidden="false" customHeight="false" outlineLevel="0" collapsed="false">
      <c r="A296" s="4" t="s">
        <v>1153</v>
      </c>
      <c r="B296" s="4" t="s">
        <v>1154</v>
      </c>
      <c r="C296" s="4" t="s">
        <v>267</v>
      </c>
      <c r="D296" s="4" t="s">
        <v>21</v>
      </c>
      <c r="E296" s="4" t="n">
        <v>37</v>
      </c>
      <c r="F296" s="4" t="n">
        <v>627208</v>
      </c>
      <c r="G296" s="4" t="s">
        <v>1155</v>
      </c>
      <c r="H296" s="4" t="s">
        <v>837</v>
      </c>
      <c r="I296" s="4" t="s">
        <v>31</v>
      </c>
    </row>
    <row r="297" customFormat="false" ht="15" hidden="false" customHeight="false" outlineLevel="0" collapsed="false">
      <c r="A297" s="4" t="s">
        <v>1156</v>
      </c>
      <c r="B297" s="4" t="s">
        <v>1157</v>
      </c>
      <c r="C297" s="4" t="s">
        <v>99</v>
      </c>
      <c r="D297" s="4" t="s">
        <v>14</v>
      </c>
      <c r="E297" s="4" t="n">
        <v>45</v>
      </c>
      <c r="F297" s="4" t="n">
        <v>549482</v>
      </c>
      <c r="G297" s="4" t="s">
        <v>1158</v>
      </c>
      <c r="H297" s="4" t="s">
        <v>451</v>
      </c>
      <c r="I297" s="4" t="s">
        <v>31</v>
      </c>
    </row>
    <row r="298" customFormat="false" ht="15" hidden="false" customHeight="false" outlineLevel="0" collapsed="false">
      <c r="A298" s="4" t="s">
        <v>1159</v>
      </c>
      <c r="B298" s="4" t="s">
        <v>1160</v>
      </c>
      <c r="C298" s="4" t="s">
        <v>262</v>
      </c>
      <c r="D298" s="4" t="s">
        <v>48</v>
      </c>
      <c r="E298" s="4" t="n">
        <v>48</v>
      </c>
      <c r="F298" s="4" t="n">
        <v>122517</v>
      </c>
      <c r="G298" s="4" t="s">
        <v>1161</v>
      </c>
      <c r="H298" s="4" t="s">
        <v>1162</v>
      </c>
      <c r="I298" s="4" t="s">
        <v>31</v>
      </c>
    </row>
    <row r="299" customFormat="false" ht="15" hidden="false" customHeight="false" outlineLevel="0" collapsed="false">
      <c r="A299" s="4" t="s">
        <v>1163</v>
      </c>
      <c r="B299" s="4" t="s">
        <v>1164</v>
      </c>
      <c r="C299" s="4" t="s">
        <v>253</v>
      </c>
      <c r="D299" s="4" t="s">
        <v>41</v>
      </c>
      <c r="E299" s="4" t="n">
        <v>32</v>
      </c>
      <c r="F299" s="4" t="n">
        <v>225093</v>
      </c>
      <c r="G299" s="4" t="s">
        <v>1165</v>
      </c>
      <c r="H299" s="4" t="s">
        <v>1166</v>
      </c>
      <c r="I299" s="4" t="s">
        <v>57</v>
      </c>
    </row>
    <row r="300" customFormat="false" ht="15" hidden="false" customHeight="false" outlineLevel="0" collapsed="false">
      <c r="A300" s="4" t="s">
        <v>1167</v>
      </c>
      <c r="B300" s="4" t="s">
        <v>1168</v>
      </c>
      <c r="C300" s="4" t="s">
        <v>27</v>
      </c>
      <c r="D300" s="4" t="s">
        <v>54</v>
      </c>
      <c r="E300" s="4" t="n">
        <v>46</v>
      </c>
      <c r="F300" s="4" t="n">
        <v>725904</v>
      </c>
      <c r="G300" s="4" t="s">
        <v>1169</v>
      </c>
      <c r="H300" s="4" t="s">
        <v>1170</v>
      </c>
      <c r="I300" s="4" t="s">
        <v>44</v>
      </c>
    </row>
    <row r="301" customFormat="false" ht="15" hidden="false" customHeight="false" outlineLevel="0" collapsed="false">
      <c r="A301" s="4" t="s">
        <v>1171</v>
      </c>
      <c r="B301" s="4" t="s">
        <v>1172</v>
      </c>
      <c r="C301" s="4" t="s">
        <v>244</v>
      </c>
      <c r="D301" s="4" t="s">
        <v>54</v>
      </c>
      <c r="E301" s="4" t="n">
        <v>27</v>
      </c>
      <c r="F301" s="4" t="n">
        <v>519961</v>
      </c>
      <c r="G301" s="4" t="s">
        <v>1173</v>
      </c>
      <c r="H301" s="4" t="s">
        <v>1174</v>
      </c>
      <c r="I301" s="4" t="s">
        <v>24</v>
      </c>
    </row>
    <row r="302" customFormat="false" ht="15" hidden="false" customHeight="false" outlineLevel="0" collapsed="false">
      <c r="A302" s="4" t="s">
        <v>1175</v>
      </c>
      <c r="B302" s="4" t="s">
        <v>1176</v>
      </c>
      <c r="C302" s="4" t="s">
        <v>211</v>
      </c>
      <c r="D302" s="4" t="s">
        <v>84</v>
      </c>
      <c r="E302" s="4" t="n">
        <v>26</v>
      </c>
      <c r="F302" s="4" t="n">
        <v>869904</v>
      </c>
      <c r="G302" s="4" t="s">
        <v>1177</v>
      </c>
      <c r="H302" s="4" t="s">
        <v>946</v>
      </c>
      <c r="I302" s="4" t="s">
        <v>31</v>
      </c>
    </row>
    <row r="303" customFormat="false" ht="15" hidden="false" customHeight="false" outlineLevel="0" collapsed="false">
      <c r="A303" s="4" t="s">
        <v>1178</v>
      </c>
      <c r="B303" s="4" t="s">
        <v>1179</v>
      </c>
      <c r="C303" s="4" t="s">
        <v>53</v>
      </c>
      <c r="D303" s="4" t="s">
        <v>54</v>
      </c>
      <c r="E303" s="4" t="n">
        <v>24</v>
      </c>
      <c r="F303" s="4" t="n">
        <v>311898</v>
      </c>
      <c r="G303" s="4" t="s">
        <v>1180</v>
      </c>
      <c r="H303" s="4" t="s">
        <v>469</v>
      </c>
      <c r="I303" s="4" t="s">
        <v>359</v>
      </c>
    </row>
    <row r="304" customFormat="false" ht="15" hidden="false" customHeight="false" outlineLevel="0" collapsed="false">
      <c r="A304" s="4" t="s">
        <v>1181</v>
      </c>
      <c r="B304" s="4" t="s">
        <v>1182</v>
      </c>
      <c r="C304" s="4" t="s">
        <v>523</v>
      </c>
      <c r="D304" s="4" t="s">
        <v>28</v>
      </c>
      <c r="E304" s="4" t="n">
        <v>49</v>
      </c>
      <c r="F304" s="4" t="n">
        <v>385695</v>
      </c>
      <c r="G304" s="4" t="s">
        <v>1183</v>
      </c>
      <c r="H304" s="4" t="s">
        <v>358</v>
      </c>
      <c r="I304" s="4" t="s">
        <v>57</v>
      </c>
    </row>
    <row r="305" customFormat="false" ht="15" hidden="false" customHeight="false" outlineLevel="0" collapsed="false">
      <c r="A305" s="4" t="s">
        <v>351</v>
      </c>
      <c r="B305" s="4" t="s">
        <v>1184</v>
      </c>
      <c r="C305" s="4" t="s">
        <v>74</v>
      </c>
      <c r="D305" s="4" t="s">
        <v>41</v>
      </c>
      <c r="E305" s="4" t="n">
        <v>52</v>
      </c>
      <c r="F305" s="4" t="n">
        <v>535334</v>
      </c>
      <c r="G305" s="4" t="s">
        <v>353</v>
      </c>
      <c r="H305" s="4" t="s">
        <v>354</v>
      </c>
      <c r="I305" s="4" t="s">
        <v>44</v>
      </c>
    </row>
    <row r="306" customFormat="false" ht="15" hidden="false" customHeight="false" outlineLevel="0" collapsed="false">
      <c r="A306" s="4" t="s">
        <v>1185</v>
      </c>
      <c r="B306" s="4" t="s">
        <v>1186</v>
      </c>
      <c r="C306" s="4" t="s">
        <v>13</v>
      </c>
      <c r="D306" s="4" t="s">
        <v>41</v>
      </c>
      <c r="E306" s="4" t="n">
        <v>54</v>
      </c>
      <c r="F306" s="4" t="n">
        <v>454299</v>
      </c>
      <c r="G306" s="4" t="s">
        <v>1187</v>
      </c>
      <c r="H306" s="4" t="s">
        <v>1188</v>
      </c>
      <c r="I306" s="4" t="s">
        <v>31</v>
      </c>
    </row>
    <row r="307" customFormat="false" ht="15" hidden="false" customHeight="false" outlineLevel="0" collapsed="false">
      <c r="A307" s="4" t="s">
        <v>1189</v>
      </c>
      <c r="B307" s="4" t="s">
        <v>1190</v>
      </c>
      <c r="C307" s="4" t="s">
        <v>83</v>
      </c>
      <c r="D307" s="4" t="s">
        <v>104</v>
      </c>
      <c r="E307" s="4" t="n">
        <v>21</v>
      </c>
      <c r="F307" s="4" t="n">
        <v>728955</v>
      </c>
      <c r="G307" s="4" t="s">
        <v>1191</v>
      </c>
      <c r="H307" s="4" t="s">
        <v>1192</v>
      </c>
      <c r="I307" s="4" t="s">
        <v>24</v>
      </c>
    </row>
    <row r="308" customFormat="false" ht="15" hidden="false" customHeight="false" outlineLevel="0" collapsed="false">
      <c r="A308" s="4" t="s">
        <v>1193</v>
      </c>
      <c r="B308" s="4" t="s">
        <v>1194</v>
      </c>
      <c r="C308" s="4" t="s">
        <v>74</v>
      </c>
      <c r="D308" s="4" t="s">
        <v>14</v>
      </c>
      <c r="E308" s="4" t="n">
        <v>48</v>
      </c>
      <c r="F308" s="4" t="n">
        <v>213226</v>
      </c>
      <c r="G308" s="4" t="s">
        <v>1195</v>
      </c>
      <c r="H308" s="4" t="s">
        <v>1196</v>
      </c>
      <c r="I308" s="4" t="s">
        <v>24</v>
      </c>
    </row>
    <row r="309" customFormat="false" ht="15" hidden="false" customHeight="false" outlineLevel="0" collapsed="false">
      <c r="A309" s="4" t="s">
        <v>1197</v>
      </c>
      <c r="B309" s="4" t="s">
        <v>1198</v>
      </c>
      <c r="C309" s="4" t="s">
        <v>27</v>
      </c>
      <c r="D309" s="4" t="s">
        <v>48</v>
      </c>
      <c r="E309" s="4" t="n">
        <v>21</v>
      </c>
      <c r="F309" s="4" t="n">
        <v>335236</v>
      </c>
      <c r="G309" s="4" t="s">
        <v>1199</v>
      </c>
      <c r="H309" s="4" t="s">
        <v>1200</v>
      </c>
      <c r="I309" s="4" t="s">
        <v>24</v>
      </c>
    </row>
    <row r="310" customFormat="false" ht="15" hidden="false" customHeight="false" outlineLevel="0" collapsed="false">
      <c r="A310" s="4" t="s">
        <v>1201</v>
      </c>
      <c r="B310" s="4" t="s">
        <v>1202</v>
      </c>
      <c r="C310" s="4" t="s">
        <v>202</v>
      </c>
      <c r="D310" s="4" t="s">
        <v>84</v>
      </c>
      <c r="E310" s="4" t="n">
        <v>34</v>
      </c>
      <c r="F310" s="4" t="n">
        <v>475172</v>
      </c>
      <c r="G310" s="4" t="s">
        <v>1203</v>
      </c>
      <c r="H310" s="4" t="s">
        <v>1204</v>
      </c>
      <c r="I310" s="4" t="s">
        <v>24</v>
      </c>
    </row>
    <row r="311" customFormat="false" ht="15" hidden="false" customHeight="false" outlineLevel="0" collapsed="false">
      <c r="A311" s="4" t="s">
        <v>1205</v>
      </c>
      <c r="B311" s="4" t="s">
        <v>1206</v>
      </c>
      <c r="C311" s="4" t="s">
        <v>34</v>
      </c>
      <c r="D311" s="4" t="s">
        <v>84</v>
      </c>
      <c r="E311" s="4" t="n">
        <v>41</v>
      </c>
      <c r="F311" s="4" t="n">
        <v>294234</v>
      </c>
      <c r="G311" s="4" t="s">
        <v>1207</v>
      </c>
      <c r="H311" s="4" t="s">
        <v>1208</v>
      </c>
      <c r="I311" s="4" t="s">
        <v>44</v>
      </c>
    </row>
    <row r="312" customFormat="false" ht="15" hidden="false" customHeight="false" outlineLevel="0" collapsed="false">
      <c r="A312" s="4" t="s">
        <v>1209</v>
      </c>
      <c r="B312" s="4" t="s">
        <v>1210</v>
      </c>
      <c r="C312" s="4" t="s">
        <v>20</v>
      </c>
      <c r="D312" s="4" t="s">
        <v>84</v>
      </c>
      <c r="E312" s="4" t="n">
        <v>32</v>
      </c>
      <c r="F312" s="4" t="n">
        <v>118773</v>
      </c>
      <c r="G312" s="4" t="s">
        <v>221</v>
      </c>
      <c r="H312" s="4" t="s">
        <v>1211</v>
      </c>
      <c r="I312" s="4" t="s">
        <v>24</v>
      </c>
    </row>
    <row r="313" customFormat="false" ht="15" hidden="false" customHeight="false" outlineLevel="0" collapsed="false">
      <c r="A313" s="4" t="s">
        <v>1212</v>
      </c>
      <c r="B313" s="4" t="s">
        <v>1213</v>
      </c>
      <c r="C313" s="4" t="s">
        <v>99</v>
      </c>
      <c r="D313" s="4" t="s">
        <v>28</v>
      </c>
      <c r="E313" s="4" t="n">
        <v>42</v>
      </c>
      <c r="F313" s="4" t="n">
        <v>830286</v>
      </c>
      <c r="G313" s="4" t="s">
        <v>1214</v>
      </c>
      <c r="H313" s="4" t="s">
        <v>920</v>
      </c>
      <c r="I313" s="4" t="s">
        <v>389</v>
      </c>
    </row>
    <row r="314" customFormat="false" ht="15" hidden="false" customHeight="false" outlineLevel="0" collapsed="false">
      <c r="A314" s="4" t="s">
        <v>1215</v>
      </c>
      <c r="B314" s="4" t="s">
        <v>1216</v>
      </c>
      <c r="C314" s="4" t="s">
        <v>108</v>
      </c>
      <c r="D314" s="4" t="s">
        <v>41</v>
      </c>
      <c r="E314" s="4" t="n">
        <v>23</v>
      </c>
      <c r="F314" s="4" t="n">
        <v>734905</v>
      </c>
      <c r="G314" s="4" t="s">
        <v>1217</v>
      </c>
      <c r="H314" s="4" t="s">
        <v>920</v>
      </c>
      <c r="I314" s="4" t="s">
        <v>31</v>
      </c>
    </row>
    <row r="315" customFormat="false" ht="15" hidden="false" customHeight="false" outlineLevel="0" collapsed="false">
      <c r="A315" s="4" t="s">
        <v>1218</v>
      </c>
      <c r="B315" s="4" t="s">
        <v>1219</v>
      </c>
      <c r="C315" s="4" t="s">
        <v>523</v>
      </c>
      <c r="D315" s="4" t="s">
        <v>48</v>
      </c>
      <c r="E315" s="4" t="n">
        <v>33</v>
      </c>
      <c r="F315" s="4" t="n">
        <v>-470487</v>
      </c>
      <c r="G315" s="4" t="s">
        <v>1220</v>
      </c>
      <c r="H315" s="4" t="s">
        <v>86</v>
      </c>
      <c r="I315" s="4" t="s">
        <v>17</v>
      </c>
    </row>
    <row r="316" customFormat="false" ht="15" hidden="false" customHeight="false" outlineLevel="0" collapsed="false">
      <c r="A316" s="4" t="s">
        <v>1221</v>
      </c>
      <c r="B316" s="4" t="s">
        <v>1222</v>
      </c>
      <c r="C316" s="4" t="s">
        <v>167</v>
      </c>
      <c r="D316" s="4" t="s">
        <v>104</v>
      </c>
      <c r="E316" s="4" t="n">
        <v>24</v>
      </c>
      <c r="F316" s="4" t="n">
        <v>573521</v>
      </c>
      <c r="G316" s="4" t="s">
        <v>1223</v>
      </c>
      <c r="H316" s="4" t="s">
        <v>1224</v>
      </c>
      <c r="I316" s="4" t="s">
        <v>24</v>
      </c>
    </row>
    <row r="317" customFormat="false" ht="15" hidden="false" customHeight="false" outlineLevel="0" collapsed="false">
      <c r="A317" s="4" t="s">
        <v>1225</v>
      </c>
      <c r="B317" s="4" t="s">
        <v>1226</v>
      </c>
      <c r="C317" s="4" t="s">
        <v>60</v>
      </c>
      <c r="D317" s="4" t="s">
        <v>21</v>
      </c>
      <c r="E317" s="4" t="n">
        <v>22</v>
      </c>
      <c r="F317" s="4" t="n">
        <v>-100396</v>
      </c>
      <c r="G317" s="4" t="s">
        <v>1227</v>
      </c>
      <c r="H317" s="4" t="s">
        <v>1228</v>
      </c>
      <c r="I317" s="4" t="s">
        <v>31</v>
      </c>
    </row>
    <row r="318" customFormat="false" ht="15" hidden="false" customHeight="false" outlineLevel="0" collapsed="false">
      <c r="A318" s="4" t="s">
        <v>1229</v>
      </c>
      <c r="B318" s="4" t="s">
        <v>1230</v>
      </c>
      <c r="C318" s="4" t="s">
        <v>253</v>
      </c>
      <c r="D318" s="4" t="s">
        <v>104</v>
      </c>
      <c r="E318" s="4" t="n">
        <v>46</v>
      </c>
      <c r="F318" s="4" t="n">
        <v>830820</v>
      </c>
      <c r="G318" s="4" t="s">
        <v>1231</v>
      </c>
      <c r="H318" s="4" t="s">
        <v>841</v>
      </c>
      <c r="I318" s="4" t="s">
        <v>17</v>
      </c>
    </row>
    <row r="319" customFormat="false" ht="15" hidden="false" customHeight="false" outlineLevel="0" collapsed="false">
      <c r="A319" s="4" t="s">
        <v>1232</v>
      </c>
      <c r="B319" s="4" t="s">
        <v>1233</v>
      </c>
      <c r="C319" s="4" t="s">
        <v>20</v>
      </c>
      <c r="D319" s="4" t="s">
        <v>69</v>
      </c>
      <c r="E319" s="4" t="n">
        <v>52</v>
      </c>
      <c r="F319" s="4" t="n">
        <v>653432</v>
      </c>
      <c r="G319" s="4" t="s">
        <v>1234</v>
      </c>
      <c r="H319" s="4" t="s">
        <v>1235</v>
      </c>
      <c r="I319" s="4" t="s">
        <v>44</v>
      </c>
    </row>
    <row r="320" customFormat="false" ht="15" hidden="false" customHeight="false" outlineLevel="0" collapsed="false">
      <c r="A320" s="4" t="s">
        <v>1236</v>
      </c>
      <c r="B320" s="4" t="s">
        <v>103</v>
      </c>
      <c r="C320" s="4" t="s">
        <v>94</v>
      </c>
      <c r="D320" s="4" t="s">
        <v>54</v>
      </c>
      <c r="E320" s="4" t="n">
        <v>46</v>
      </c>
      <c r="F320" s="4" t="n">
        <v>564564</v>
      </c>
      <c r="G320" s="4" t="s">
        <v>1237</v>
      </c>
      <c r="H320" s="4" t="s">
        <v>106</v>
      </c>
      <c r="I320" s="4" t="s">
        <v>24</v>
      </c>
    </row>
    <row r="321" customFormat="false" ht="15" hidden="false" customHeight="false" outlineLevel="0" collapsed="false">
      <c r="A321" s="4" t="s">
        <v>1238</v>
      </c>
      <c r="B321" s="4" t="s">
        <v>733</v>
      </c>
      <c r="C321" s="4" t="s">
        <v>129</v>
      </c>
      <c r="D321" s="4" t="s">
        <v>48</v>
      </c>
      <c r="E321" s="4" t="n">
        <v>59</v>
      </c>
      <c r="F321" s="4"/>
      <c r="G321" s="4" t="s">
        <v>1239</v>
      </c>
      <c r="H321" s="4" t="s">
        <v>230</v>
      </c>
      <c r="I321" s="4" t="s">
        <v>44</v>
      </c>
    </row>
    <row r="322" customFormat="false" ht="15" hidden="false" customHeight="false" outlineLevel="0" collapsed="false">
      <c r="A322" s="4" t="s">
        <v>1240</v>
      </c>
      <c r="B322" s="4" t="s">
        <v>1241</v>
      </c>
      <c r="C322" s="4" t="s">
        <v>316</v>
      </c>
      <c r="D322" s="4" t="s">
        <v>21</v>
      </c>
      <c r="E322" s="4" t="n">
        <v>49</v>
      </c>
      <c r="F322" s="4" t="n">
        <v>451314</v>
      </c>
      <c r="G322" s="4" t="s">
        <v>1242</v>
      </c>
      <c r="H322" s="4" t="s">
        <v>1243</v>
      </c>
      <c r="I322" s="4" t="s">
        <v>37</v>
      </c>
    </row>
    <row r="323" customFormat="false" ht="15" hidden="false" customHeight="false" outlineLevel="0" collapsed="false">
      <c r="A323" s="4" t="s">
        <v>1244</v>
      </c>
      <c r="B323" s="4" t="s">
        <v>1186</v>
      </c>
      <c r="C323" s="4" t="s">
        <v>434</v>
      </c>
      <c r="D323" s="4" t="s">
        <v>104</v>
      </c>
      <c r="E323" s="4" t="n">
        <v>52</v>
      </c>
      <c r="F323" s="4" t="n">
        <v>548125</v>
      </c>
      <c r="G323" s="4" t="s">
        <v>1245</v>
      </c>
      <c r="H323" s="4" t="s">
        <v>1246</v>
      </c>
      <c r="I323" s="4" t="s">
        <v>31</v>
      </c>
    </row>
    <row r="324" customFormat="false" ht="15" hidden="false" customHeight="false" outlineLevel="0" collapsed="false">
      <c r="A324" s="4" t="s">
        <v>1247</v>
      </c>
      <c r="B324" s="4" t="s">
        <v>1248</v>
      </c>
      <c r="C324" s="4" t="s">
        <v>185</v>
      </c>
      <c r="D324" s="4" t="s">
        <v>130</v>
      </c>
      <c r="E324" s="4" t="n">
        <v>39</v>
      </c>
      <c r="F324" s="4" t="n">
        <v>198535</v>
      </c>
      <c r="G324" s="4" t="s">
        <v>1249</v>
      </c>
      <c r="H324" s="4" t="s">
        <v>1250</v>
      </c>
      <c r="I324" s="4" t="s">
        <v>31</v>
      </c>
    </row>
    <row r="325" customFormat="false" ht="15" hidden="false" customHeight="false" outlineLevel="0" collapsed="false">
      <c r="A325" s="4" t="s">
        <v>1251</v>
      </c>
      <c r="B325" s="4" t="s">
        <v>93</v>
      </c>
      <c r="C325" s="4" t="s">
        <v>202</v>
      </c>
      <c r="D325" s="4" t="s">
        <v>28</v>
      </c>
      <c r="E325" s="4" t="n">
        <v>51</v>
      </c>
      <c r="F325" s="4" t="n">
        <v>246328</v>
      </c>
      <c r="G325" s="4" t="s">
        <v>1252</v>
      </c>
      <c r="H325" s="4" t="s">
        <v>96</v>
      </c>
      <c r="I325" s="4" t="s">
        <v>17</v>
      </c>
    </row>
    <row r="326" customFormat="false" ht="15" hidden="false" customHeight="false" outlineLevel="0" collapsed="false">
      <c r="A326" s="4" t="s">
        <v>1253</v>
      </c>
      <c r="B326" s="4" t="s">
        <v>1254</v>
      </c>
      <c r="C326" s="4" t="s">
        <v>108</v>
      </c>
      <c r="D326" s="4" t="s">
        <v>14</v>
      </c>
      <c r="E326" s="4" t="n">
        <v>38</v>
      </c>
      <c r="F326" s="4" t="n">
        <v>97649</v>
      </c>
      <c r="G326" s="4" t="s">
        <v>1255</v>
      </c>
      <c r="H326" s="4" t="s">
        <v>1256</v>
      </c>
      <c r="I326" s="4" t="s">
        <v>31</v>
      </c>
    </row>
    <row r="327" customFormat="false" ht="15" hidden="false" customHeight="false" outlineLevel="0" collapsed="false">
      <c r="A327" s="4" t="s">
        <v>1257</v>
      </c>
      <c r="B327" s="4" t="s">
        <v>1258</v>
      </c>
      <c r="C327" s="4" t="s">
        <v>74</v>
      </c>
      <c r="D327" s="4" t="s">
        <v>104</v>
      </c>
      <c r="E327" s="4" t="n">
        <v>36</v>
      </c>
      <c r="F327" s="4" t="n">
        <v>864310</v>
      </c>
      <c r="G327" s="4" t="s">
        <v>1259</v>
      </c>
      <c r="H327" s="4" t="s">
        <v>1260</v>
      </c>
      <c r="I327" s="4" t="s">
        <v>17</v>
      </c>
    </row>
    <row r="328" customFormat="false" ht="15" hidden="false" customHeight="false" outlineLevel="0" collapsed="false">
      <c r="A328" s="4" t="s">
        <v>1261</v>
      </c>
      <c r="B328" s="4" t="s">
        <v>1262</v>
      </c>
      <c r="C328" s="4" t="s">
        <v>20</v>
      </c>
      <c r="D328" s="4" t="s">
        <v>21</v>
      </c>
      <c r="E328" s="4" t="n">
        <v>23</v>
      </c>
      <c r="F328" s="4" t="n">
        <v>864387</v>
      </c>
      <c r="G328" s="4" t="s">
        <v>1263</v>
      </c>
      <c r="H328" s="4" t="s">
        <v>1264</v>
      </c>
      <c r="I328" s="4" t="s">
        <v>31</v>
      </c>
    </row>
    <row r="329" customFormat="false" ht="15" hidden="false" customHeight="false" outlineLevel="0" collapsed="false">
      <c r="A329" s="4" t="s">
        <v>1265</v>
      </c>
      <c r="B329" s="4" t="s">
        <v>1117</v>
      </c>
      <c r="C329" s="4" t="s">
        <v>253</v>
      </c>
      <c r="D329" s="4" t="s">
        <v>41</v>
      </c>
      <c r="E329" s="4" t="n">
        <v>52</v>
      </c>
      <c r="F329" s="4" t="s">
        <v>1266</v>
      </c>
      <c r="G329" s="4" t="s">
        <v>1267</v>
      </c>
      <c r="H329" s="4" t="s">
        <v>1119</v>
      </c>
      <c r="I329" s="4" t="s">
        <v>44</v>
      </c>
    </row>
    <row r="330" customFormat="false" ht="15" hidden="false" customHeight="false" outlineLevel="0" collapsed="false">
      <c r="A330" s="4" t="s">
        <v>1268</v>
      </c>
      <c r="B330" s="4" t="s">
        <v>1269</v>
      </c>
      <c r="C330" s="4" t="s">
        <v>167</v>
      </c>
      <c r="D330" s="4" t="s">
        <v>28</v>
      </c>
      <c r="E330" s="4" t="n">
        <v>39</v>
      </c>
      <c r="F330" s="4"/>
      <c r="G330" s="4" t="s">
        <v>1270</v>
      </c>
      <c r="H330" s="4" t="s">
        <v>1271</v>
      </c>
      <c r="I330" s="4" t="s">
        <v>24</v>
      </c>
    </row>
    <row r="331" customFormat="false" ht="15" hidden="false" customHeight="false" outlineLevel="0" collapsed="false">
      <c r="A331" s="4" t="s">
        <v>1272</v>
      </c>
      <c r="B331" s="4" t="s">
        <v>1273</v>
      </c>
      <c r="C331" s="4" t="s">
        <v>244</v>
      </c>
      <c r="D331" s="4" t="s">
        <v>14</v>
      </c>
      <c r="E331" s="4" t="n">
        <v>30</v>
      </c>
      <c r="F331" s="4" t="n">
        <v>125915</v>
      </c>
      <c r="G331" s="4" t="s">
        <v>1274</v>
      </c>
      <c r="H331" s="4" t="s">
        <v>199</v>
      </c>
      <c r="I331" s="4" t="s">
        <v>24</v>
      </c>
    </row>
    <row r="332" customFormat="false" ht="15" hidden="false" customHeight="false" outlineLevel="0" collapsed="false">
      <c r="A332" s="4" t="s">
        <v>1275</v>
      </c>
      <c r="B332" s="4" t="s">
        <v>1276</v>
      </c>
      <c r="C332" s="4" t="s">
        <v>434</v>
      </c>
      <c r="D332" s="4" t="s">
        <v>14</v>
      </c>
      <c r="E332" s="4" t="n">
        <v>49</v>
      </c>
      <c r="F332" s="4" t="n">
        <v>-804942</v>
      </c>
      <c r="G332" s="4" t="s">
        <v>1277</v>
      </c>
      <c r="H332" s="4" t="s">
        <v>1278</v>
      </c>
      <c r="I332" s="4" t="s">
        <v>31</v>
      </c>
    </row>
    <row r="333" customFormat="false" ht="15" hidden="false" customHeight="false" outlineLevel="0" collapsed="false">
      <c r="A333" s="4" t="s">
        <v>1279</v>
      </c>
      <c r="B333" s="4" t="s">
        <v>1280</v>
      </c>
      <c r="C333" s="4" t="s">
        <v>244</v>
      </c>
      <c r="D333" s="4" t="s">
        <v>21</v>
      </c>
      <c r="E333" s="4" t="n">
        <v>30</v>
      </c>
      <c r="F333" s="4" t="s">
        <v>1281</v>
      </c>
      <c r="G333" s="4" t="s">
        <v>1282</v>
      </c>
      <c r="H333" s="4" t="s">
        <v>1283</v>
      </c>
      <c r="I333" s="4" t="s">
        <v>37</v>
      </c>
    </row>
    <row r="334" customFormat="false" ht="15" hidden="false" customHeight="false" outlineLevel="0" collapsed="false">
      <c r="A334" s="4" t="s">
        <v>1284</v>
      </c>
      <c r="B334" s="4" t="s">
        <v>1285</v>
      </c>
      <c r="C334" s="4" t="s">
        <v>129</v>
      </c>
      <c r="D334" s="4" t="s">
        <v>14</v>
      </c>
      <c r="E334" s="4" t="n">
        <v>24</v>
      </c>
      <c r="F334" s="4" t="n">
        <v>407535</v>
      </c>
      <c r="G334" s="4" t="s">
        <v>1021</v>
      </c>
      <c r="H334" s="4" t="s">
        <v>86</v>
      </c>
      <c r="I334" s="4" t="s">
        <v>44</v>
      </c>
    </row>
    <row r="335" customFormat="false" ht="15" hidden="false" customHeight="false" outlineLevel="0" collapsed="false">
      <c r="A335" s="4" t="s">
        <v>1286</v>
      </c>
      <c r="B335" s="4" t="s">
        <v>1287</v>
      </c>
      <c r="C335" s="4" t="s">
        <v>276</v>
      </c>
      <c r="D335" s="4" t="s">
        <v>69</v>
      </c>
      <c r="E335" s="4" t="n">
        <v>35</v>
      </c>
      <c r="F335" s="4" t="n">
        <v>289629</v>
      </c>
      <c r="G335" s="4" t="s">
        <v>1187</v>
      </c>
      <c r="H335" s="4" t="s">
        <v>1288</v>
      </c>
      <c r="I335" s="4" t="s">
        <v>17</v>
      </c>
    </row>
    <row r="336" customFormat="false" ht="15" hidden="false" customHeight="false" outlineLevel="0" collapsed="false">
      <c r="A336" s="4" t="s">
        <v>1063</v>
      </c>
      <c r="B336" s="4" t="s">
        <v>1064</v>
      </c>
      <c r="C336" s="4" t="s">
        <v>434</v>
      </c>
      <c r="D336" s="4" t="s">
        <v>130</v>
      </c>
      <c r="E336" s="4" t="n">
        <v>52</v>
      </c>
      <c r="F336" s="4" t="n">
        <v>785263</v>
      </c>
      <c r="G336" s="4" t="s">
        <v>1065</v>
      </c>
      <c r="H336" s="4" t="s">
        <v>1066</v>
      </c>
      <c r="I336" s="4" t="s">
        <v>359</v>
      </c>
    </row>
    <row r="337" customFormat="false" ht="15" hidden="false" customHeight="false" outlineLevel="0" collapsed="false">
      <c r="A337" s="4" t="s">
        <v>1289</v>
      </c>
      <c r="B337" s="4" t="s">
        <v>1290</v>
      </c>
      <c r="C337" s="4" t="s">
        <v>60</v>
      </c>
      <c r="D337" s="4" t="s">
        <v>21</v>
      </c>
      <c r="E337" s="4" t="n">
        <v>40</v>
      </c>
      <c r="F337" s="4" t="n">
        <v>172211</v>
      </c>
      <c r="G337" s="4" t="s">
        <v>1291</v>
      </c>
      <c r="H337" s="4" t="s">
        <v>1292</v>
      </c>
      <c r="I337" s="4" t="s">
        <v>118</v>
      </c>
    </row>
    <row r="338" customFormat="false" ht="15" hidden="false" customHeight="false" outlineLevel="0" collapsed="false">
      <c r="A338" s="4" t="s">
        <v>1293</v>
      </c>
      <c r="B338" s="4" t="s">
        <v>1294</v>
      </c>
      <c r="C338" s="4" t="s">
        <v>20</v>
      </c>
      <c r="D338" s="4" t="s">
        <v>54</v>
      </c>
      <c r="E338" s="4" t="n">
        <v>50</v>
      </c>
      <c r="F338" s="4" t="n">
        <v>724580</v>
      </c>
      <c r="G338" s="4" t="s">
        <v>1295</v>
      </c>
      <c r="H338" s="4" t="s">
        <v>1296</v>
      </c>
      <c r="I338" s="4" t="s">
        <v>17</v>
      </c>
    </row>
    <row r="339" customFormat="false" ht="15" hidden="false" customHeight="false" outlineLevel="0" collapsed="false">
      <c r="A339" s="4" t="s">
        <v>578</v>
      </c>
      <c r="B339" s="4" t="s">
        <v>1297</v>
      </c>
      <c r="C339" s="4" t="s">
        <v>94</v>
      </c>
      <c r="D339" s="4" t="s">
        <v>104</v>
      </c>
      <c r="E339" s="4" t="n">
        <v>34</v>
      </c>
      <c r="F339" s="4" t="n">
        <v>844702</v>
      </c>
      <c r="G339" s="4" t="s">
        <v>580</v>
      </c>
      <c r="H339" s="4" t="s">
        <v>581</v>
      </c>
      <c r="I339" s="4" t="s">
        <v>31</v>
      </c>
    </row>
    <row r="340" customFormat="false" ht="15" hidden="false" customHeight="false" outlineLevel="0" collapsed="false">
      <c r="A340" s="4" t="s">
        <v>1298</v>
      </c>
      <c r="B340" s="4" t="s">
        <v>1299</v>
      </c>
      <c r="C340" s="4" t="s">
        <v>220</v>
      </c>
      <c r="D340" s="4" t="s">
        <v>54</v>
      </c>
      <c r="E340" s="4" t="n">
        <v>37</v>
      </c>
      <c r="F340" s="4" t="n">
        <v>367684</v>
      </c>
      <c r="G340" s="4" t="s">
        <v>1300</v>
      </c>
      <c r="H340" s="4" t="s">
        <v>1301</v>
      </c>
      <c r="I340" s="4" t="s">
        <v>31</v>
      </c>
    </row>
    <row r="341" customFormat="false" ht="15" hidden="false" customHeight="false" outlineLevel="0" collapsed="false">
      <c r="A341" s="4" t="s">
        <v>1302</v>
      </c>
      <c r="B341" s="4" t="s">
        <v>1303</v>
      </c>
      <c r="C341" s="4" t="s">
        <v>146</v>
      </c>
      <c r="D341" s="4" t="s">
        <v>130</v>
      </c>
      <c r="E341" s="4" t="n">
        <v>53</v>
      </c>
      <c r="F341" s="4" t="n">
        <v>353232</v>
      </c>
      <c r="G341" s="4" t="s">
        <v>1304</v>
      </c>
      <c r="H341" s="4" t="s">
        <v>1305</v>
      </c>
      <c r="I341" s="4" t="s">
        <v>24</v>
      </c>
    </row>
    <row r="342" customFormat="false" ht="15" hidden="false" customHeight="false" outlineLevel="0" collapsed="false">
      <c r="A342" s="4" t="s">
        <v>1306</v>
      </c>
      <c r="B342" s="4" t="s">
        <v>1307</v>
      </c>
      <c r="C342" s="4" t="s">
        <v>99</v>
      </c>
      <c r="D342" s="4" t="s">
        <v>104</v>
      </c>
      <c r="E342" s="4" t="n">
        <v>38</v>
      </c>
      <c r="F342" s="4" t="n">
        <v>143583</v>
      </c>
      <c r="G342" s="4" t="s">
        <v>1308</v>
      </c>
      <c r="H342" s="4" t="s">
        <v>143</v>
      </c>
      <c r="I342" s="4" t="s">
        <v>24</v>
      </c>
    </row>
    <row r="343" customFormat="false" ht="15" hidden="false" customHeight="false" outlineLevel="0" collapsed="false">
      <c r="A343" s="4" t="s">
        <v>1309</v>
      </c>
      <c r="B343" s="4" t="s">
        <v>1310</v>
      </c>
      <c r="C343" s="4" t="s">
        <v>83</v>
      </c>
      <c r="D343" s="4" t="s">
        <v>130</v>
      </c>
      <c r="E343" s="4" t="n">
        <v>25</v>
      </c>
      <c r="F343" s="4" t="n">
        <v>207756</v>
      </c>
      <c r="G343" s="4" t="s">
        <v>1311</v>
      </c>
      <c r="H343" s="4" t="s">
        <v>750</v>
      </c>
      <c r="I343" s="4" t="s">
        <v>31</v>
      </c>
    </row>
    <row r="344" customFormat="false" ht="15" hidden="false" customHeight="false" outlineLevel="0" collapsed="false">
      <c r="A344" s="4" t="s">
        <v>1312</v>
      </c>
      <c r="B344" s="4" t="s">
        <v>1313</v>
      </c>
      <c r="C344" s="4" t="s">
        <v>108</v>
      </c>
      <c r="D344" s="4" t="s">
        <v>28</v>
      </c>
      <c r="E344" s="4" t="n">
        <v>33</v>
      </c>
      <c r="F344" s="4" t="n">
        <v>501189</v>
      </c>
      <c r="G344" s="4" t="s">
        <v>1314</v>
      </c>
      <c r="H344" s="4" t="s">
        <v>1315</v>
      </c>
      <c r="I344" s="4" t="s">
        <v>17</v>
      </c>
    </row>
    <row r="345" customFormat="false" ht="15" hidden="false" customHeight="false" outlineLevel="0" collapsed="false">
      <c r="A345" s="4" t="s">
        <v>1316</v>
      </c>
      <c r="B345" s="4" t="s">
        <v>1317</v>
      </c>
      <c r="C345" s="4" t="s">
        <v>135</v>
      </c>
      <c r="D345" s="4" t="s">
        <v>14</v>
      </c>
      <c r="E345" s="4" t="n">
        <v>51</v>
      </c>
      <c r="F345" s="4" t="n">
        <v>664394</v>
      </c>
      <c r="G345" s="4" t="s">
        <v>1318</v>
      </c>
      <c r="H345" s="4" t="s">
        <v>330</v>
      </c>
      <c r="I345" s="4" t="s">
        <v>44</v>
      </c>
    </row>
    <row r="346" customFormat="false" ht="15" hidden="false" customHeight="false" outlineLevel="0" collapsed="false">
      <c r="A346" s="4" t="s">
        <v>1319</v>
      </c>
      <c r="B346" s="4" t="s">
        <v>1320</v>
      </c>
      <c r="C346" s="4" t="s">
        <v>34</v>
      </c>
      <c r="D346" s="4" t="s">
        <v>54</v>
      </c>
      <c r="E346" s="4" t="n">
        <v>44</v>
      </c>
      <c r="F346" s="4" t="n">
        <v>330234</v>
      </c>
      <c r="G346" s="4" t="s">
        <v>1321</v>
      </c>
      <c r="H346" s="4" t="s">
        <v>1322</v>
      </c>
      <c r="I346" s="4" t="s">
        <v>44</v>
      </c>
    </row>
    <row r="347" customFormat="false" ht="15" hidden="false" customHeight="false" outlineLevel="0" collapsed="false">
      <c r="A347" s="4" t="s">
        <v>1323</v>
      </c>
      <c r="B347" s="4" t="s">
        <v>1091</v>
      </c>
      <c r="C347" s="4" t="s">
        <v>27</v>
      </c>
      <c r="D347" s="4" t="s">
        <v>14</v>
      </c>
      <c r="E347" s="4" t="n">
        <v>58</v>
      </c>
      <c r="F347" s="4" t="n">
        <v>137270</v>
      </c>
      <c r="G347" s="4" t="s">
        <v>1324</v>
      </c>
      <c r="H347" s="4" t="s">
        <v>1093</v>
      </c>
      <c r="I347" s="4" t="s">
        <v>31</v>
      </c>
    </row>
    <row r="348" customFormat="false" ht="15" hidden="false" customHeight="false" outlineLevel="0" collapsed="false">
      <c r="A348" s="4" t="s">
        <v>1167</v>
      </c>
      <c r="B348" s="4" t="s">
        <v>1325</v>
      </c>
      <c r="C348" s="4" t="s">
        <v>27</v>
      </c>
      <c r="D348" s="4" t="s">
        <v>54</v>
      </c>
      <c r="E348" s="4" t="n">
        <v>46</v>
      </c>
      <c r="F348" s="4" t="n">
        <v>725904</v>
      </c>
      <c r="G348" s="4" t="s">
        <v>1169</v>
      </c>
      <c r="H348" s="4" t="s">
        <v>1170</v>
      </c>
      <c r="I348" s="4" t="s">
        <v>44</v>
      </c>
    </row>
    <row r="349" customFormat="false" ht="15" hidden="false" customHeight="false" outlineLevel="0" collapsed="false">
      <c r="A349" s="4" t="s">
        <v>1326</v>
      </c>
      <c r="B349" s="4" t="s">
        <v>1327</v>
      </c>
      <c r="C349" s="4" t="s">
        <v>129</v>
      </c>
      <c r="D349" s="4" t="s">
        <v>54</v>
      </c>
      <c r="E349" s="4" t="n">
        <v>39</v>
      </c>
      <c r="F349" s="4" t="n">
        <v>84292</v>
      </c>
      <c r="G349" s="4" t="s">
        <v>1328</v>
      </c>
      <c r="H349" s="4" t="s">
        <v>1079</v>
      </c>
      <c r="I349" s="4" t="s">
        <v>31</v>
      </c>
    </row>
    <row r="350" customFormat="false" ht="15" hidden="false" customHeight="false" outlineLevel="0" collapsed="false">
      <c r="A350" s="4" t="s">
        <v>1329</v>
      </c>
      <c r="B350" s="4" t="s">
        <v>1330</v>
      </c>
      <c r="C350" s="4" t="s">
        <v>202</v>
      </c>
      <c r="D350" s="4" t="s">
        <v>104</v>
      </c>
      <c r="E350" s="4" t="n">
        <v>26</v>
      </c>
      <c r="F350" s="4" t="n">
        <v>23111800</v>
      </c>
      <c r="G350" s="4" t="s">
        <v>1331</v>
      </c>
      <c r="H350" s="4" t="s">
        <v>1332</v>
      </c>
      <c r="I350" s="4" t="s">
        <v>24</v>
      </c>
    </row>
    <row r="351" customFormat="false" ht="15" hidden="false" customHeight="false" outlineLevel="0" collapsed="false">
      <c r="A351" s="4" t="s">
        <v>1333</v>
      </c>
      <c r="B351" s="4" t="s">
        <v>1334</v>
      </c>
      <c r="C351" s="4" t="s">
        <v>211</v>
      </c>
      <c r="D351" s="4" t="s">
        <v>41</v>
      </c>
      <c r="E351" s="4" t="n">
        <v>41</v>
      </c>
      <c r="F351" s="4" t="n">
        <v>126081</v>
      </c>
      <c r="G351" s="4" t="s">
        <v>1335</v>
      </c>
      <c r="H351" s="4" t="s">
        <v>1336</v>
      </c>
      <c r="I351" s="4" t="s">
        <v>24</v>
      </c>
    </row>
    <row r="352" customFormat="false" ht="15" hidden="false" customHeight="false" outlineLevel="0" collapsed="false">
      <c r="A352" s="4" t="s">
        <v>1337</v>
      </c>
      <c r="B352" s="4" t="s">
        <v>1338</v>
      </c>
      <c r="C352" s="4" t="s">
        <v>60</v>
      </c>
      <c r="D352" s="4" t="s">
        <v>84</v>
      </c>
      <c r="E352" s="4" t="n">
        <v>27</v>
      </c>
      <c r="F352" s="4" t="n">
        <v>-219097</v>
      </c>
      <c r="G352" s="4" t="s">
        <v>1339</v>
      </c>
      <c r="H352" s="4" t="s">
        <v>1340</v>
      </c>
      <c r="I352" s="4" t="s">
        <v>389</v>
      </c>
    </row>
    <row r="353" customFormat="false" ht="15" hidden="false" customHeight="false" outlineLevel="0" collapsed="false">
      <c r="A353" s="4" t="s">
        <v>1341</v>
      </c>
      <c r="B353" s="4" t="s">
        <v>1342</v>
      </c>
      <c r="C353" s="4" t="s">
        <v>244</v>
      </c>
      <c r="D353" s="4" t="s">
        <v>28</v>
      </c>
      <c r="E353" s="4" t="n">
        <v>55</v>
      </c>
      <c r="F353" s="4" t="n">
        <v>176408</v>
      </c>
      <c r="G353" s="4" t="s">
        <v>1343</v>
      </c>
      <c r="H353" s="4" t="s">
        <v>1344</v>
      </c>
      <c r="I353" s="4" t="s">
        <v>24</v>
      </c>
    </row>
    <row r="354" customFormat="false" ht="15" hidden="false" customHeight="false" outlineLevel="0" collapsed="false">
      <c r="A354" s="4" t="s">
        <v>1345</v>
      </c>
      <c r="B354" s="4" t="s">
        <v>1346</v>
      </c>
      <c r="C354" s="4" t="s">
        <v>140</v>
      </c>
      <c r="D354" s="4" t="s">
        <v>14</v>
      </c>
      <c r="E354" s="4" t="n">
        <v>51</v>
      </c>
      <c r="F354" s="4" t="n">
        <v>199714</v>
      </c>
      <c r="G354" s="4" t="s">
        <v>1347</v>
      </c>
      <c r="H354" s="4" t="s">
        <v>1348</v>
      </c>
      <c r="I354" s="4" t="s">
        <v>44</v>
      </c>
    </row>
    <row r="355" customFormat="false" ht="15" hidden="false" customHeight="false" outlineLevel="0" collapsed="false">
      <c r="A355" s="4" t="s">
        <v>1349</v>
      </c>
      <c r="B355" s="4" t="s">
        <v>1350</v>
      </c>
      <c r="C355" s="4" t="s">
        <v>253</v>
      </c>
      <c r="D355" s="4" t="s">
        <v>69</v>
      </c>
      <c r="E355" s="4" t="n">
        <v>28</v>
      </c>
      <c r="F355" s="4" t="n">
        <v>283116</v>
      </c>
      <c r="G355" s="4" t="s">
        <v>1351</v>
      </c>
      <c r="H355" s="4" t="s">
        <v>1352</v>
      </c>
      <c r="I355" s="4" t="s">
        <v>31</v>
      </c>
    </row>
    <row r="356" customFormat="false" ht="15" hidden="false" customHeight="false" outlineLevel="0" collapsed="false">
      <c r="A356" s="4" t="s">
        <v>1353</v>
      </c>
      <c r="B356" s="4" t="s">
        <v>1354</v>
      </c>
      <c r="C356" s="4" t="s">
        <v>40</v>
      </c>
      <c r="D356" s="4" t="s">
        <v>84</v>
      </c>
      <c r="E356" s="4" t="n">
        <v>57</v>
      </c>
      <c r="F356" s="4"/>
      <c r="G356" s="4" t="s">
        <v>1355</v>
      </c>
      <c r="H356" s="4" t="s">
        <v>255</v>
      </c>
      <c r="I356" s="4" t="s">
        <v>57</v>
      </c>
    </row>
    <row r="357" customFormat="false" ht="15" hidden="false" customHeight="false" outlineLevel="0" collapsed="false">
      <c r="A357" s="4" t="s">
        <v>1356</v>
      </c>
      <c r="B357" s="4" t="s">
        <v>1357</v>
      </c>
      <c r="C357" s="4" t="s">
        <v>253</v>
      </c>
      <c r="D357" s="4" t="s">
        <v>84</v>
      </c>
      <c r="E357" s="4" t="n">
        <v>56</v>
      </c>
      <c r="F357" s="4" t="n">
        <v>-140072</v>
      </c>
      <c r="G357" s="4" t="s">
        <v>1358</v>
      </c>
      <c r="H357" s="4" t="s">
        <v>942</v>
      </c>
      <c r="I357" s="4" t="s">
        <v>24</v>
      </c>
    </row>
    <row r="358" customFormat="false" ht="15" hidden="false" customHeight="false" outlineLevel="0" collapsed="false">
      <c r="A358" s="4" t="s">
        <v>1359</v>
      </c>
      <c r="B358" s="4" t="s">
        <v>1360</v>
      </c>
      <c r="C358" s="4" t="s">
        <v>20</v>
      </c>
      <c r="D358" s="4" t="s">
        <v>54</v>
      </c>
      <c r="E358" s="4" t="n">
        <v>30</v>
      </c>
      <c r="F358" s="4" t="n">
        <v>721281</v>
      </c>
      <c r="G358" s="4" t="s">
        <v>403</v>
      </c>
      <c r="H358" s="4" t="s">
        <v>640</v>
      </c>
      <c r="I358" s="4" t="s">
        <v>389</v>
      </c>
    </row>
    <row r="359" customFormat="false" ht="15" hidden="false" customHeight="false" outlineLevel="0" collapsed="false">
      <c r="A359" s="4" t="s">
        <v>1361</v>
      </c>
      <c r="B359" s="4" t="s">
        <v>1362</v>
      </c>
      <c r="C359" s="4" t="s">
        <v>523</v>
      </c>
      <c r="D359" s="4" t="s">
        <v>48</v>
      </c>
      <c r="E359" s="4" t="n">
        <v>36</v>
      </c>
      <c r="F359" s="4" t="n">
        <v>84126</v>
      </c>
      <c r="G359" s="4" t="s">
        <v>1363</v>
      </c>
      <c r="H359" s="4" t="s">
        <v>1364</v>
      </c>
      <c r="I359" s="4" t="s">
        <v>31</v>
      </c>
    </row>
    <row r="360" customFormat="false" ht="15" hidden="false" customHeight="false" outlineLevel="0" collapsed="false">
      <c r="A360" s="4" t="s">
        <v>1365</v>
      </c>
      <c r="B360" s="4" t="s">
        <v>1366</v>
      </c>
      <c r="C360" s="4" t="s">
        <v>89</v>
      </c>
      <c r="D360" s="4" t="s">
        <v>28</v>
      </c>
      <c r="E360" s="4" t="n">
        <v>38</v>
      </c>
      <c r="F360" s="4" t="n">
        <v>540881</v>
      </c>
      <c r="G360" s="4" t="s">
        <v>1367</v>
      </c>
      <c r="H360" s="4" t="s">
        <v>897</v>
      </c>
      <c r="I360" s="4" t="s">
        <v>17</v>
      </c>
    </row>
    <row r="361" customFormat="false" ht="15" hidden="false" customHeight="false" outlineLevel="0" collapsed="false">
      <c r="A361" s="4" t="s">
        <v>1368</v>
      </c>
      <c r="B361" s="4" t="s">
        <v>171</v>
      </c>
      <c r="C361" s="4" t="s">
        <v>27</v>
      </c>
      <c r="D361" s="4" t="s">
        <v>41</v>
      </c>
      <c r="E361" s="4" t="n">
        <v>44</v>
      </c>
      <c r="F361" s="4" t="n">
        <v>148133</v>
      </c>
      <c r="G361" s="4" t="s">
        <v>1369</v>
      </c>
      <c r="H361" s="4" t="s">
        <v>173</v>
      </c>
      <c r="I361" s="4" t="s">
        <v>359</v>
      </c>
    </row>
    <row r="362" customFormat="false" ht="15" hidden="false" customHeight="false" outlineLevel="0" collapsed="false">
      <c r="A362" s="4" t="s">
        <v>1370</v>
      </c>
      <c r="B362" s="4" t="s">
        <v>1371</v>
      </c>
      <c r="C362" s="4" t="s">
        <v>523</v>
      </c>
      <c r="D362" s="4" t="s">
        <v>28</v>
      </c>
      <c r="E362" s="4" t="n">
        <v>41</v>
      </c>
      <c r="F362" s="4" t="n">
        <v>84831600</v>
      </c>
      <c r="G362" s="4" t="s">
        <v>1372</v>
      </c>
      <c r="H362" s="4" t="s">
        <v>1373</v>
      </c>
      <c r="I362" s="4" t="s">
        <v>31</v>
      </c>
    </row>
    <row r="363" customFormat="false" ht="15" hidden="false" customHeight="false" outlineLevel="0" collapsed="false">
      <c r="A363" s="4" t="s">
        <v>1374</v>
      </c>
      <c r="B363" s="4" t="s">
        <v>1375</v>
      </c>
      <c r="C363" s="4" t="s">
        <v>202</v>
      </c>
      <c r="D363" s="4" t="s">
        <v>104</v>
      </c>
      <c r="E363" s="4" t="n">
        <v>47</v>
      </c>
      <c r="F363" s="4" t="n">
        <v>873027</v>
      </c>
      <c r="G363" s="4" t="s">
        <v>1376</v>
      </c>
      <c r="H363" s="4" t="s">
        <v>1145</v>
      </c>
      <c r="I363" s="4" t="s">
        <v>31</v>
      </c>
    </row>
    <row r="364" customFormat="false" ht="15" hidden="false" customHeight="false" outlineLevel="0" collapsed="false">
      <c r="A364" s="4" t="s">
        <v>1377</v>
      </c>
      <c r="B364" s="4" t="s">
        <v>1378</v>
      </c>
      <c r="C364" s="4" t="s">
        <v>253</v>
      </c>
      <c r="D364" s="4" t="s">
        <v>48</v>
      </c>
      <c r="E364" s="4" t="n">
        <v>23</v>
      </c>
      <c r="F364" s="4" t="n">
        <v>561771</v>
      </c>
      <c r="G364" s="4" t="s">
        <v>1379</v>
      </c>
      <c r="H364" s="4" t="s">
        <v>1380</v>
      </c>
      <c r="I364" s="4" t="s">
        <v>44</v>
      </c>
    </row>
    <row r="365" customFormat="false" ht="15" hidden="false" customHeight="false" outlineLevel="0" collapsed="false">
      <c r="A365" s="4" t="s">
        <v>1381</v>
      </c>
      <c r="B365" s="4" t="s">
        <v>1382</v>
      </c>
      <c r="C365" s="4" t="s">
        <v>316</v>
      </c>
      <c r="D365" s="4" t="s">
        <v>48</v>
      </c>
      <c r="E365" s="4" t="n">
        <v>51</v>
      </c>
      <c r="F365" s="4" t="n">
        <v>830149</v>
      </c>
      <c r="G365" s="4" t="s">
        <v>1383</v>
      </c>
      <c r="H365" s="4" t="s">
        <v>1208</v>
      </c>
      <c r="I365" s="4" t="s">
        <v>44</v>
      </c>
    </row>
    <row r="366" customFormat="false" ht="15" hidden="false" customHeight="false" outlineLevel="0" collapsed="false">
      <c r="A366" s="4" t="s">
        <v>1384</v>
      </c>
      <c r="B366" s="4" t="s">
        <v>1385</v>
      </c>
      <c r="C366" s="4" t="s">
        <v>202</v>
      </c>
      <c r="D366" s="4" t="s">
        <v>28</v>
      </c>
      <c r="E366" s="4" t="n">
        <v>58</v>
      </c>
      <c r="F366" s="4" t="n">
        <v>313354</v>
      </c>
      <c r="G366" s="4" t="s">
        <v>1386</v>
      </c>
      <c r="H366" s="4" t="s">
        <v>1387</v>
      </c>
      <c r="I366" s="4" t="s">
        <v>17</v>
      </c>
    </row>
    <row r="367" customFormat="false" ht="15" hidden="false" customHeight="false" outlineLevel="0" collapsed="false">
      <c r="A367" s="4" t="s">
        <v>1388</v>
      </c>
      <c r="B367" s="4" t="s">
        <v>1389</v>
      </c>
      <c r="C367" s="4" t="s">
        <v>40</v>
      </c>
      <c r="D367" s="4" t="s">
        <v>21</v>
      </c>
      <c r="E367" s="4" t="n">
        <v>39</v>
      </c>
      <c r="F367" s="4" t="n">
        <v>727874</v>
      </c>
      <c r="G367" s="4" t="s">
        <v>1390</v>
      </c>
      <c r="H367" s="4" t="s">
        <v>1127</v>
      </c>
      <c r="I367" s="4" t="s">
        <v>31</v>
      </c>
    </row>
    <row r="368" customFormat="false" ht="15" hidden="false" customHeight="false" outlineLevel="0" collapsed="false">
      <c r="A368" s="4" t="s">
        <v>1391</v>
      </c>
      <c r="B368" s="4" t="s">
        <v>1392</v>
      </c>
      <c r="C368" s="4" t="s">
        <v>216</v>
      </c>
      <c r="D368" s="4" t="s">
        <v>84</v>
      </c>
      <c r="E368" s="4" t="n">
        <v>42</v>
      </c>
      <c r="F368" s="4" t="n">
        <v>152391</v>
      </c>
      <c r="G368" s="4" t="s">
        <v>1393</v>
      </c>
      <c r="H368" s="4" t="s">
        <v>1394</v>
      </c>
      <c r="I368" s="4" t="s">
        <v>24</v>
      </c>
    </row>
    <row r="369" customFormat="false" ht="15" hidden="false" customHeight="false" outlineLevel="0" collapsed="false">
      <c r="A369" s="4" t="s">
        <v>1395</v>
      </c>
      <c r="B369" s="4" t="s">
        <v>1396</v>
      </c>
      <c r="C369" s="4" t="s">
        <v>34</v>
      </c>
      <c r="D369" s="4" t="s">
        <v>54</v>
      </c>
      <c r="E369" s="4" t="n">
        <v>26</v>
      </c>
      <c r="F369" s="4" t="n">
        <v>228780</v>
      </c>
      <c r="G369" s="4" t="s">
        <v>1397</v>
      </c>
      <c r="H369" s="4" t="s">
        <v>1398</v>
      </c>
      <c r="I369" s="4" t="s">
        <v>24</v>
      </c>
    </row>
    <row r="370" customFormat="false" ht="15" hidden="false" customHeight="false" outlineLevel="0" collapsed="false">
      <c r="A370" s="4" t="s">
        <v>1399</v>
      </c>
      <c r="B370" s="4" t="s">
        <v>1400</v>
      </c>
      <c r="C370" s="4" t="s">
        <v>140</v>
      </c>
      <c r="D370" s="4" t="s">
        <v>84</v>
      </c>
      <c r="E370" s="4" t="n">
        <v>32</v>
      </c>
      <c r="F370" s="4" t="n">
        <v>550930</v>
      </c>
      <c r="G370" s="4" t="s">
        <v>1401</v>
      </c>
      <c r="H370" s="4" t="s">
        <v>1402</v>
      </c>
      <c r="I370" s="4" t="s">
        <v>17</v>
      </c>
    </row>
    <row r="371" customFormat="false" ht="15" hidden="false" customHeight="false" outlineLevel="0" collapsed="false">
      <c r="A371" s="4" t="s">
        <v>1403</v>
      </c>
      <c r="B371" s="4" t="s">
        <v>1404</v>
      </c>
      <c r="C371" s="4" t="s">
        <v>316</v>
      </c>
      <c r="D371" s="4" t="s">
        <v>104</v>
      </c>
      <c r="E371" s="4" t="n">
        <v>26</v>
      </c>
      <c r="F371" s="4" t="n">
        <v>102615</v>
      </c>
      <c r="G371" s="4" t="s">
        <v>1405</v>
      </c>
      <c r="H371" s="4" t="s">
        <v>1406</v>
      </c>
      <c r="I371" s="4" t="s">
        <v>118</v>
      </c>
    </row>
    <row r="372" customFormat="false" ht="15" hidden="false" customHeight="false" outlineLevel="0" collapsed="false">
      <c r="A372" s="4" t="s">
        <v>1407</v>
      </c>
      <c r="B372" s="4" t="s">
        <v>1222</v>
      </c>
      <c r="C372" s="4" t="s">
        <v>253</v>
      </c>
      <c r="D372" s="4" t="s">
        <v>54</v>
      </c>
      <c r="E372" s="4" t="n">
        <v>30</v>
      </c>
      <c r="F372" s="4" t="n">
        <v>682373</v>
      </c>
      <c r="G372" s="4" t="s">
        <v>1408</v>
      </c>
      <c r="H372" s="4" t="s">
        <v>1224</v>
      </c>
      <c r="I372" s="4" t="s">
        <v>44</v>
      </c>
    </row>
    <row r="373" customFormat="false" ht="15" hidden="false" customHeight="false" outlineLevel="0" collapsed="false">
      <c r="A373" s="4" t="s">
        <v>1409</v>
      </c>
      <c r="B373" s="4" t="s">
        <v>1410</v>
      </c>
      <c r="C373" s="4" t="s">
        <v>40</v>
      </c>
      <c r="D373" s="4" t="s">
        <v>104</v>
      </c>
      <c r="E373" s="4" t="n">
        <v>43</v>
      </c>
      <c r="F373" s="4" t="n">
        <v>775210</v>
      </c>
      <c r="G373" s="4" t="s">
        <v>1411</v>
      </c>
      <c r="H373" s="4" t="s">
        <v>305</v>
      </c>
      <c r="I373" s="4" t="s">
        <v>17</v>
      </c>
    </row>
    <row r="374" customFormat="false" ht="15" hidden="false" customHeight="false" outlineLevel="0" collapsed="false">
      <c r="A374" s="4" t="s">
        <v>1412</v>
      </c>
      <c r="B374" s="4" t="s">
        <v>1413</v>
      </c>
      <c r="C374" s="4" t="s">
        <v>316</v>
      </c>
      <c r="D374" s="4" t="s">
        <v>54</v>
      </c>
      <c r="E374" s="4" t="n">
        <v>37</v>
      </c>
      <c r="F374" s="4" t="n">
        <v>713501</v>
      </c>
      <c r="G374" s="4" t="s">
        <v>1414</v>
      </c>
      <c r="H374" s="4" t="s">
        <v>1415</v>
      </c>
      <c r="I374" s="4" t="s">
        <v>24</v>
      </c>
    </row>
    <row r="375" customFormat="false" ht="15" hidden="false" customHeight="false" outlineLevel="0" collapsed="false">
      <c r="A375" s="4" t="s">
        <v>1416</v>
      </c>
      <c r="B375" s="4" t="s">
        <v>1417</v>
      </c>
      <c r="C375" s="4" t="s">
        <v>40</v>
      </c>
      <c r="D375" s="4" t="s">
        <v>48</v>
      </c>
      <c r="E375" s="4" t="n">
        <v>46</v>
      </c>
      <c r="F375" s="4" t="n">
        <v>429932</v>
      </c>
      <c r="G375" s="4" t="s">
        <v>1418</v>
      </c>
      <c r="H375" s="4" t="s">
        <v>1419</v>
      </c>
      <c r="I375" s="4" t="s">
        <v>44</v>
      </c>
    </row>
    <row r="376" customFormat="false" ht="15" hidden="false" customHeight="false" outlineLevel="0" collapsed="false">
      <c r="A376" s="4" t="s">
        <v>1420</v>
      </c>
      <c r="B376" s="4" t="s">
        <v>1421</v>
      </c>
      <c r="C376" s="4" t="s">
        <v>99</v>
      </c>
      <c r="D376" s="4" t="s">
        <v>14</v>
      </c>
      <c r="E376" s="4" t="n">
        <v>5</v>
      </c>
      <c r="F376" s="4" t="n">
        <v>650396</v>
      </c>
      <c r="G376" s="4" t="s">
        <v>1422</v>
      </c>
      <c r="H376" s="4" t="s">
        <v>379</v>
      </c>
      <c r="I376" s="4" t="s">
        <v>31</v>
      </c>
    </row>
    <row r="377" customFormat="false" ht="15" hidden="false" customHeight="false" outlineLevel="0" collapsed="false">
      <c r="A377" s="4" t="s">
        <v>1423</v>
      </c>
      <c r="B377" s="4" t="s">
        <v>1424</v>
      </c>
      <c r="C377" s="4" t="s">
        <v>434</v>
      </c>
      <c r="D377" s="4" t="s">
        <v>41</v>
      </c>
      <c r="E377" s="4" t="n">
        <v>44</v>
      </c>
      <c r="F377" s="4" t="n">
        <v>431240</v>
      </c>
      <c r="G377" s="4" t="s">
        <v>1425</v>
      </c>
      <c r="H377" s="4" t="s">
        <v>1426</v>
      </c>
      <c r="I377" s="4" t="s">
        <v>31</v>
      </c>
    </row>
    <row r="378" customFormat="false" ht="15" hidden="false" customHeight="false" outlineLevel="0" collapsed="false">
      <c r="A378" s="4" t="s">
        <v>1124</v>
      </c>
      <c r="B378" s="4" t="s">
        <v>1427</v>
      </c>
      <c r="C378" s="4" t="s">
        <v>135</v>
      </c>
      <c r="D378" s="4" t="s">
        <v>41</v>
      </c>
      <c r="E378" s="4" t="n">
        <v>41</v>
      </c>
      <c r="F378" s="4" t="n">
        <v>918438</v>
      </c>
      <c r="G378" s="4" t="s">
        <v>1126</v>
      </c>
      <c r="H378" s="4" t="s">
        <v>1127</v>
      </c>
      <c r="I378" s="4" t="s">
        <v>31</v>
      </c>
    </row>
    <row r="379" customFormat="false" ht="15" hidden="false" customHeight="false" outlineLevel="0" collapsed="false">
      <c r="A379" s="4" t="s">
        <v>1428</v>
      </c>
      <c r="B379" s="4" t="s">
        <v>1429</v>
      </c>
      <c r="C379" s="4" t="s">
        <v>83</v>
      </c>
      <c r="D379" s="4" t="s">
        <v>54</v>
      </c>
      <c r="E379" s="4" t="n">
        <v>51</v>
      </c>
      <c r="F379" s="4" t="s">
        <v>1430</v>
      </c>
      <c r="G379" s="4" t="s">
        <v>1431</v>
      </c>
      <c r="H379" s="4" t="s">
        <v>1432</v>
      </c>
      <c r="I379" s="4" t="s">
        <v>31</v>
      </c>
    </row>
    <row r="380" customFormat="false" ht="15" hidden="false" customHeight="false" outlineLevel="0" collapsed="false">
      <c r="A380" s="4" t="s">
        <v>1433</v>
      </c>
      <c r="B380" s="4" t="s">
        <v>1434</v>
      </c>
      <c r="C380" s="4" t="s">
        <v>298</v>
      </c>
      <c r="D380" s="4" t="s">
        <v>28</v>
      </c>
      <c r="E380" s="4" t="n">
        <v>39</v>
      </c>
      <c r="F380" s="4" t="n">
        <v>272517</v>
      </c>
      <c r="G380" s="4" t="s">
        <v>1435</v>
      </c>
      <c r="H380" s="4" t="s">
        <v>1436</v>
      </c>
      <c r="I380" s="4" t="s">
        <v>17</v>
      </c>
    </row>
    <row r="381" customFormat="false" ht="15" hidden="false" customHeight="false" outlineLevel="0" collapsed="false">
      <c r="A381" s="4" t="s">
        <v>1437</v>
      </c>
      <c r="B381" s="4" t="s">
        <v>1438</v>
      </c>
      <c r="C381" s="4" t="s">
        <v>53</v>
      </c>
      <c r="D381" s="4" t="s">
        <v>54</v>
      </c>
      <c r="E381" s="4" t="n">
        <v>51</v>
      </c>
      <c r="F381" s="4" t="n">
        <v>361734</v>
      </c>
      <c r="G381" s="4" t="s">
        <v>1439</v>
      </c>
      <c r="H381" s="4" t="s">
        <v>1208</v>
      </c>
      <c r="I381" s="4" t="s">
        <v>44</v>
      </c>
    </row>
    <row r="382" customFormat="false" ht="15" hidden="false" customHeight="false" outlineLevel="0" collapsed="false">
      <c r="A382" s="4" t="s">
        <v>1440</v>
      </c>
      <c r="B382" s="4" t="s">
        <v>530</v>
      </c>
      <c r="C382" s="4" t="s">
        <v>202</v>
      </c>
      <c r="D382" s="4" t="s">
        <v>14</v>
      </c>
      <c r="E382" s="4" t="n">
        <v>54</v>
      </c>
      <c r="F382" s="4" t="n">
        <v>945784</v>
      </c>
      <c r="G382" s="4" t="s">
        <v>1441</v>
      </c>
      <c r="H382" s="4" t="s">
        <v>532</v>
      </c>
      <c r="I382" s="4" t="s">
        <v>57</v>
      </c>
    </row>
    <row r="383" customFormat="false" ht="15" hidden="false" customHeight="false" outlineLevel="0" collapsed="false">
      <c r="A383" s="4" t="s">
        <v>1265</v>
      </c>
      <c r="B383" s="4" t="s">
        <v>1117</v>
      </c>
      <c r="C383" s="4" t="s">
        <v>253</v>
      </c>
      <c r="D383" s="4" t="s">
        <v>41</v>
      </c>
      <c r="E383" s="4" t="n">
        <v>52</v>
      </c>
      <c r="F383" s="4" t="s">
        <v>1266</v>
      </c>
      <c r="G383" s="4" t="s">
        <v>1267</v>
      </c>
      <c r="H383" s="4" t="s">
        <v>1119</v>
      </c>
      <c r="I383" s="4" t="s">
        <v>44</v>
      </c>
    </row>
    <row r="384" customFormat="false" ht="15" hidden="false" customHeight="false" outlineLevel="0" collapsed="false">
      <c r="A384" s="4" t="s">
        <v>1442</v>
      </c>
      <c r="B384" s="4" t="s">
        <v>324</v>
      </c>
      <c r="C384" s="4" t="s">
        <v>129</v>
      </c>
      <c r="D384" s="4" t="s">
        <v>21</v>
      </c>
      <c r="E384" s="4" t="n">
        <v>37</v>
      </c>
      <c r="F384" s="4" t="n">
        <v>83166400</v>
      </c>
      <c r="G384" s="4" t="s">
        <v>1443</v>
      </c>
      <c r="H384" s="4" t="s">
        <v>379</v>
      </c>
      <c r="I384" s="4" t="s">
        <v>17</v>
      </c>
    </row>
    <row r="385" customFormat="false" ht="15" hidden="false" customHeight="false" outlineLevel="0" collapsed="false">
      <c r="A385" s="4" t="s">
        <v>1444</v>
      </c>
      <c r="B385" s="4" t="s">
        <v>1445</v>
      </c>
      <c r="C385" s="4" t="s">
        <v>89</v>
      </c>
      <c r="D385" s="4" t="s">
        <v>14</v>
      </c>
      <c r="E385" s="4"/>
      <c r="F385" s="4" t="n">
        <v>576463</v>
      </c>
      <c r="G385" s="4" t="s">
        <v>1446</v>
      </c>
      <c r="H385" s="4" t="s">
        <v>1447</v>
      </c>
      <c r="I385" s="4" t="s">
        <v>44</v>
      </c>
    </row>
    <row r="386" customFormat="false" ht="15" hidden="false" customHeight="false" outlineLevel="0" collapsed="false">
      <c r="A386" s="4" t="s">
        <v>1448</v>
      </c>
      <c r="B386" s="4" t="s">
        <v>1449</v>
      </c>
      <c r="C386" s="4" t="s">
        <v>298</v>
      </c>
      <c r="D386" s="4" t="s">
        <v>41</v>
      </c>
      <c r="E386" s="4" t="n">
        <v>29</v>
      </c>
      <c r="F386" s="4" t="n">
        <v>863550</v>
      </c>
      <c r="G386" s="4" t="s">
        <v>1450</v>
      </c>
      <c r="H386" s="4" t="s">
        <v>1451</v>
      </c>
      <c r="I386" s="4" t="s">
        <v>359</v>
      </c>
    </row>
    <row r="387" customFormat="false" ht="15" hidden="false" customHeight="false" outlineLevel="0" collapsed="false">
      <c r="A387" s="4" t="s">
        <v>514</v>
      </c>
      <c r="B387" s="4" t="s">
        <v>1452</v>
      </c>
      <c r="C387" s="4" t="s">
        <v>74</v>
      </c>
      <c r="D387" s="4" t="s">
        <v>69</v>
      </c>
      <c r="E387" s="4" t="n">
        <v>53</v>
      </c>
      <c r="F387" s="4" t="n">
        <v>526110</v>
      </c>
      <c r="G387" s="4" t="s">
        <v>516</v>
      </c>
      <c r="H387" s="4" t="s">
        <v>517</v>
      </c>
      <c r="I387" s="4" t="s">
        <v>44</v>
      </c>
    </row>
    <row r="388" customFormat="false" ht="15" hidden="false" customHeight="false" outlineLevel="0" collapsed="false">
      <c r="A388" s="4" t="s">
        <v>1453</v>
      </c>
      <c r="B388" s="4" t="s">
        <v>1454</v>
      </c>
      <c r="C388" s="4" t="s">
        <v>146</v>
      </c>
      <c r="D388" s="4" t="s">
        <v>54</v>
      </c>
      <c r="E388" s="4" t="n">
        <v>41</v>
      </c>
      <c r="F388" s="4" t="n">
        <v>570538</v>
      </c>
      <c r="G388" s="4" t="s">
        <v>1455</v>
      </c>
      <c r="H388" s="4" t="s">
        <v>1456</v>
      </c>
      <c r="I388" s="4" t="s">
        <v>24</v>
      </c>
    </row>
    <row r="389" customFormat="false" ht="15" hidden="false" customHeight="false" outlineLevel="0" collapsed="false">
      <c r="A389" s="4" t="s">
        <v>1178</v>
      </c>
      <c r="B389" s="4" t="s">
        <v>1179</v>
      </c>
      <c r="C389" s="4" t="s">
        <v>53</v>
      </c>
      <c r="D389" s="4" t="s">
        <v>54</v>
      </c>
      <c r="E389" s="4" t="n">
        <v>24</v>
      </c>
      <c r="F389" s="4" t="n">
        <v>311898</v>
      </c>
      <c r="G389" s="4" t="s">
        <v>1180</v>
      </c>
      <c r="H389" s="4" t="s">
        <v>469</v>
      </c>
      <c r="I389" s="4" t="s">
        <v>359</v>
      </c>
    </row>
    <row r="390" customFormat="false" ht="15" hidden="false" customHeight="false" outlineLevel="0" collapsed="false">
      <c r="A390" s="4" t="s">
        <v>1457</v>
      </c>
      <c r="B390" s="4" t="s">
        <v>1458</v>
      </c>
      <c r="C390" s="4" t="s">
        <v>27</v>
      </c>
      <c r="D390" s="4" t="s">
        <v>28</v>
      </c>
      <c r="E390" s="4" t="n">
        <v>48</v>
      </c>
      <c r="F390" s="4" t="n">
        <v>199054</v>
      </c>
      <c r="G390" s="4" t="s">
        <v>1459</v>
      </c>
      <c r="H390" s="4" t="s">
        <v>1460</v>
      </c>
      <c r="I390" s="4" t="s">
        <v>17</v>
      </c>
    </row>
    <row r="391" customFormat="false" ht="15" hidden="false" customHeight="false" outlineLevel="0" collapsed="false">
      <c r="A391" s="4" t="s">
        <v>1461</v>
      </c>
      <c r="B391" s="4" t="s">
        <v>1462</v>
      </c>
      <c r="C391" s="4" t="s">
        <v>135</v>
      </c>
      <c r="D391" s="4" t="s">
        <v>28</v>
      </c>
      <c r="E391" s="4" t="n">
        <v>28</v>
      </c>
      <c r="F391" s="4" t="n">
        <v>587223</v>
      </c>
      <c r="G391" s="4" t="s">
        <v>1463</v>
      </c>
      <c r="H391" s="4" t="s">
        <v>1464</v>
      </c>
      <c r="I391" s="4" t="s">
        <v>31</v>
      </c>
    </row>
    <row r="392" customFormat="false" ht="15" hidden="false" customHeight="false" outlineLevel="0" collapsed="false">
      <c r="A392" s="4" t="s">
        <v>1465</v>
      </c>
      <c r="B392" s="4" t="s">
        <v>1466</v>
      </c>
      <c r="C392" s="4" t="s">
        <v>60</v>
      </c>
      <c r="D392" s="4" t="s">
        <v>54</v>
      </c>
      <c r="E392" s="4" t="n">
        <v>26</v>
      </c>
      <c r="F392" s="4" t="n">
        <v>566237</v>
      </c>
      <c r="G392" s="4" t="s">
        <v>1467</v>
      </c>
      <c r="H392" s="4" t="s">
        <v>1468</v>
      </c>
      <c r="I392" s="4" t="s">
        <v>24</v>
      </c>
    </row>
    <row r="393" customFormat="false" ht="15" hidden="false" customHeight="false" outlineLevel="0" collapsed="false">
      <c r="A393" s="4" t="s">
        <v>716</v>
      </c>
      <c r="B393" s="4" t="s">
        <v>717</v>
      </c>
      <c r="C393" s="4" t="s">
        <v>167</v>
      </c>
      <c r="D393" s="4" t="s">
        <v>104</v>
      </c>
      <c r="E393" s="4" t="n">
        <v>23</v>
      </c>
      <c r="F393" s="4" t="n">
        <v>116043</v>
      </c>
      <c r="G393" s="4" t="s">
        <v>718</v>
      </c>
      <c r="H393" s="4" t="s">
        <v>719</v>
      </c>
      <c r="I393" s="4" t="s">
        <v>24</v>
      </c>
    </row>
    <row r="394" customFormat="false" ht="15" hidden="false" customHeight="false" outlineLevel="0" collapsed="false">
      <c r="A394" s="4" t="s">
        <v>1469</v>
      </c>
      <c r="B394" s="4" t="s">
        <v>1470</v>
      </c>
      <c r="C394" s="4" t="s">
        <v>220</v>
      </c>
      <c r="D394" s="4" t="s">
        <v>104</v>
      </c>
      <c r="E394" s="4" t="n">
        <v>31</v>
      </c>
      <c r="F394" s="4" t="n">
        <v>460336</v>
      </c>
      <c r="G394" s="4" t="s">
        <v>1471</v>
      </c>
      <c r="H394" s="4" t="s">
        <v>1472</v>
      </c>
      <c r="I394" s="4" t="s">
        <v>44</v>
      </c>
    </row>
    <row r="395" customFormat="false" ht="15" hidden="false" customHeight="false" outlineLevel="0" collapsed="false">
      <c r="A395" s="4" t="s">
        <v>1473</v>
      </c>
      <c r="B395" s="4" t="s">
        <v>1474</v>
      </c>
      <c r="C395" s="4" t="s">
        <v>13</v>
      </c>
      <c r="D395" s="4" t="s">
        <v>41</v>
      </c>
      <c r="E395" s="4" t="n">
        <v>44</v>
      </c>
      <c r="F395" s="4" t="n">
        <v>400165</v>
      </c>
      <c r="G395" s="4" t="s">
        <v>1475</v>
      </c>
      <c r="H395" s="4" t="s">
        <v>1476</v>
      </c>
      <c r="I395" s="4" t="s">
        <v>44</v>
      </c>
    </row>
    <row r="396" customFormat="false" ht="15" hidden="false" customHeight="false" outlineLevel="0" collapsed="false">
      <c r="A396" s="4" t="s">
        <v>1477</v>
      </c>
      <c r="B396" s="4" t="s">
        <v>583</v>
      </c>
      <c r="C396" s="4" t="s">
        <v>60</v>
      </c>
      <c r="D396" s="4" t="s">
        <v>84</v>
      </c>
      <c r="E396" s="4" t="n">
        <v>60</v>
      </c>
      <c r="F396" s="4" t="n">
        <v>150948</v>
      </c>
      <c r="G396" s="4" t="s">
        <v>1478</v>
      </c>
      <c r="H396" s="4" t="s">
        <v>1479</v>
      </c>
      <c r="I396" s="4" t="s">
        <v>31</v>
      </c>
    </row>
    <row r="397" customFormat="false" ht="15" hidden="false" customHeight="false" outlineLevel="0" collapsed="false">
      <c r="A397" s="4" t="s">
        <v>1480</v>
      </c>
      <c r="B397" s="4" t="s">
        <v>1481</v>
      </c>
      <c r="C397" s="4" t="s">
        <v>248</v>
      </c>
      <c r="D397" s="4" t="s">
        <v>48</v>
      </c>
      <c r="E397" s="4" t="n">
        <v>22</v>
      </c>
      <c r="F397" s="4" t="n">
        <v>538452</v>
      </c>
      <c r="G397" s="4" t="s">
        <v>1482</v>
      </c>
      <c r="H397" s="4" t="s">
        <v>1483</v>
      </c>
      <c r="I397" s="4" t="s">
        <v>24</v>
      </c>
    </row>
    <row r="398" customFormat="false" ht="15" hidden="false" customHeight="false" outlineLevel="0" collapsed="false">
      <c r="A398" s="4" t="s">
        <v>1484</v>
      </c>
      <c r="B398" s="4" t="s">
        <v>1485</v>
      </c>
      <c r="C398" s="4" t="s">
        <v>74</v>
      </c>
      <c r="D398" s="4" t="s">
        <v>28</v>
      </c>
      <c r="E398" s="4" t="n">
        <v>25</v>
      </c>
      <c r="F398" s="4" t="n">
        <v>700952</v>
      </c>
      <c r="G398" s="4" t="s">
        <v>1486</v>
      </c>
      <c r="H398" s="4" t="s">
        <v>1487</v>
      </c>
      <c r="I398" s="4" t="s">
        <v>44</v>
      </c>
    </row>
    <row r="399" customFormat="false" ht="15" hidden="false" customHeight="false" outlineLevel="0" collapsed="false">
      <c r="A399" s="4" t="s">
        <v>1488</v>
      </c>
      <c r="B399" s="4" t="s">
        <v>1489</v>
      </c>
      <c r="C399" s="4" t="s">
        <v>108</v>
      </c>
      <c r="D399" s="4" t="s">
        <v>104</v>
      </c>
      <c r="E399" s="4" t="n">
        <v>45</v>
      </c>
      <c r="F399" s="4" t="n">
        <v>280134</v>
      </c>
      <c r="G399" s="4" t="s">
        <v>1490</v>
      </c>
      <c r="H399" s="4" t="s">
        <v>817</v>
      </c>
      <c r="I399" s="4" t="s">
        <v>24</v>
      </c>
    </row>
    <row r="400" customFormat="false" ht="15" hidden="false" customHeight="false" outlineLevel="0" collapsed="false">
      <c r="A400" s="4" t="s">
        <v>1491</v>
      </c>
      <c r="B400" s="4" t="s">
        <v>1492</v>
      </c>
      <c r="C400" s="4" t="s">
        <v>60</v>
      </c>
      <c r="D400" s="4" t="s">
        <v>21</v>
      </c>
      <c r="E400" s="4" t="n">
        <v>44</v>
      </c>
      <c r="F400" s="4" t="n">
        <v>853061</v>
      </c>
      <c r="G400" s="4" t="s">
        <v>1493</v>
      </c>
      <c r="H400" s="4" t="s">
        <v>1494</v>
      </c>
      <c r="I400" s="4" t="s">
        <v>24</v>
      </c>
    </row>
    <row r="401" customFormat="false" ht="15" hidden="false" customHeight="false" outlineLevel="0" collapsed="false">
      <c r="A401" s="4" t="s">
        <v>1495</v>
      </c>
      <c r="B401" s="4" t="s">
        <v>1434</v>
      </c>
      <c r="C401" s="4" t="s">
        <v>140</v>
      </c>
      <c r="D401" s="4" t="s">
        <v>48</v>
      </c>
      <c r="E401" s="4" t="n">
        <v>40</v>
      </c>
      <c r="F401" s="4" t="n">
        <v>559706</v>
      </c>
      <c r="G401" s="4" t="s">
        <v>1496</v>
      </c>
      <c r="H401" s="4" t="s">
        <v>1436</v>
      </c>
      <c r="I401" s="4" t="s">
        <v>31</v>
      </c>
    </row>
    <row r="402" customFormat="false" ht="15" hidden="false" customHeight="false" outlineLevel="0" collapsed="false">
      <c r="A402" s="4" t="s">
        <v>1090</v>
      </c>
      <c r="B402" s="4" t="s">
        <v>1497</v>
      </c>
      <c r="C402" s="4" t="s">
        <v>40</v>
      </c>
      <c r="D402" s="4" t="s">
        <v>84</v>
      </c>
      <c r="E402" s="4" t="n">
        <v>58</v>
      </c>
      <c r="F402" s="4" t="n">
        <v>95713</v>
      </c>
      <c r="G402" s="4" t="s">
        <v>1092</v>
      </c>
      <c r="H402" s="4" t="s">
        <v>1093</v>
      </c>
      <c r="I402" s="4" t="s">
        <v>44</v>
      </c>
    </row>
    <row r="403" customFormat="false" ht="15" hidden="false" customHeight="false" outlineLevel="0" collapsed="false">
      <c r="A403" s="4" t="s">
        <v>1498</v>
      </c>
      <c r="B403" s="4" t="s">
        <v>1499</v>
      </c>
      <c r="C403" s="4" t="s">
        <v>253</v>
      </c>
      <c r="D403" s="4" t="s">
        <v>48</v>
      </c>
      <c r="E403" s="4" t="n">
        <v>21</v>
      </c>
      <c r="F403" s="4" t="n">
        <v>288615</v>
      </c>
      <c r="G403" s="4" t="s">
        <v>1500</v>
      </c>
      <c r="H403" s="4" t="s">
        <v>1501</v>
      </c>
      <c r="I403" s="4" t="s">
        <v>24</v>
      </c>
    </row>
    <row r="404" customFormat="false" ht="15" hidden="false" customHeight="false" outlineLevel="0" collapsed="false">
      <c r="A404" s="4" t="s">
        <v>1502</v>
      </c>
      <c r="B404" s="4" t="s">
        <v>1503</v>
      </c>
      <c r="C404" s="4" t="s">
        <v>13</v>
      </c>
      <c r="D404" s="4" t="s">
        <v>104</v>
      </c>
      <c r="E404" s="4" t="n">
        <v>35</v>
      </c>
      <c r="F404" s="4" t="n">
        <v>56329700</v>
      </c>
      <c r="G404" s="4" t="s">
        <v>1504</v>
      </c>
      <c r="H404" s="4" t="s">
        <v>1505</v>
      </c>
      <c r="I404" s="4" t="s">
        <v>118</v>
      </c>
    </row>
    <row r="405" customFormat="false" ht="15" hidden="false" customHeight="false" outlineLevel="0" collapsed="false">
      <c r="A405" s="4" t="s">
        <v>1506</v>
      </c>
      <c r="B405" s="4" t="s">
        <v>1507</v>
      </c>
      <c r="C405" s="4" t="s">
        <v>83</v>
      </c>
      <c r="D405" s="4" t="s">
        <v>41</v>
      </c>
      <c r="E405" s="4" t="n">
        <v>5</v>
      </c>
      <c r="F405" s="4" t="n">
        <v>197792</v>
      </c>
      <c r="G405" s="4" t="s">
        <v>1508</v>
      </c>
      <c r="H405" s="4" t="s">
        <v>1509</v>
      </c>
      <c r="I405" s="4" t="s">
        <v>17</v>
      </c>
    </row>
    <row r="406" customFormat="false" ht="15" hidden="false" customHeight="false" outlineLevel="0" collapsed="false">
      <c r="A406" s="4" t="s">
        <v>1510</v>
      </c>
      <c r="B406" s="4" t="s">
        <v>1511</v>
      </c>
      <c r="C406" s="4" t="s">
        <v>60</v>
      </c>
      <c r="D406" s="4" t="s">
        <v>84</v>
      </c>
      <c r="E406" s="4" t="n">
        <v>25</v>
      </c>
      <c r="F406" s="4" t="n">
        <v>872484</v>
      </c>
      <c r="G406" s="4" t="s">
        <v>1512</v>
      </c>
      <c r="H406" s="4" t="s">
        <v>532</v>
      </c>
      <c r="I406" s="4" t="s">
        <v>44</v>
      </c>
    </row>
    <row r="407" customFormat="false" ht="15" hidden="false" customHeight="false" outlineLevel="0" collapsed="false">
      <c r="A407" s="4" t="s">
        <v>1513</v>
      </c>
      <c r="B407" s="4" t="s">
        <v>1514</v>
      </c>
      <c r="C407" s="4" t="s">
        <v>20</v>
      </c>
      <c r="D407" s="4" t="s">
        <v>69</v>
      </c>
      <c r="E407" s="4" t="n">
        <v>48</v>
      </c>
      <c r="F407" s="4" t="n">
        <v>822291</v>
      </c>
      <c r="G407" s="4" t="s">
        <v>1515</v>
      </c>
      <c r="H407" s="4" t="s">
        <v>1516</v>
      </c>
      <c r="I407" s="4" t="s">
        <v>24</v>
      </c>
    </row>
    <row r="408" customFormat="false" ht="15" hidden="false" customHeight="false" outlineLevel="0" collapsed="false">
      <c r="A408" s="4" t="s">
        <v>1517</v>
      </c>
      <c r="B408" s="4" t="s">
        <v>1518</v>
      </c>
      <c r="C408" s="4" t="s">
        <v>316</v>
      </c>
      <c r="D408" s="4" t="s">
        <v>21</v>
      </c>
      <c r="E408" s="4"/>
      <c r="F408" s="4" t="n">
        <v>748068</v>
      </c>
      <c r="G408" s="4" t="s">
        <v>1519</v>
      </c>
      <c r="H408" s="4" t="s">
        <v>1520</v>
      </c>
      <c r="I408" s="4" t="s">
        <v>17</v>
      </c>
    </row>
    <row r="409" customFormat="false" ht="15" hidden="false" customHeight="false" outlineLevel="0" collapsed="false">
      <c r="A409" s="4" t="s">
        <v>1521</v>
      </c>
      <c r="B409" s="4" t="s">
        <v>1522</v>
      </c>
      <c r="C409" s="4" t="s">
        <v>276</v>
      </c>
      <c r="D409" s="4" t="s">
        <v>21</v>
      </c>
      <c r="E409" s="4" t="n">
        <v>60</v>
      </c>
      <c r="F409" s="4" t="n">
        <v>249671</v>
      </c>
      <c r="G409" s="4" t="s">
        <v>1523</v>
      </c>
      <c r="H409" s="4" t="s">
        <v>1524</v>
      </c>
      <c r="I409" s="4" t="s">
        <v>359</v>
      </c>
    </row>
    <row r="410" customFormat="false" ht="15" hidden="false" customHeight="false" outlineLevel="0" collapsed="false">
      <c r="A410" s="4" t="s">
        <v>553</v>
      </c>
      <c r="B410" s="4" t="s">
        <v>554</v>
      </c>
      <c r="C410" s="4" t="s">
        <v>74</v>
      </c>
      <c r="D410" s="4" t="s">
        <v>54</v>
      </c>
      <c r="E410" s="4" t="n">
        <v>39</v>
      </c>
      <c r="F410" s="4" t="n">
        <v>863969</v>
      </c>
      <c r="G410" s="4" t="s">
        <v>555</v>
      </c>
      <c r="H410" s="4" t="s">
        <v>556</v>
      </c>
      <c r="I410" s="4" t="s">
        <v>17</v>
      </c>
    </row>
    <row r="411" customFormat="false" ht="15" hidden="false" customHeight="false" outlineLevel="0" collapsed="false">
      <c r="A411" s="4" t="s">
        <v>1525</v>
      </c>
      <c r="B411" s="4" t="s">
        <v>1526</v>
      </c>
      <c r="C411" s="4" t="s">
        <v>220</v>
      </c>
      <c r="D411" s="4" t="s">
        <v>21</v>
      </c>
      <c r="E411" s="4" t="n">
        <v>32</v>
      </c>
      <c r="F411" s="4" t="n">
        <v>766282</v>
      </c>
      <c r="G411" s="4" t="s">
        <v>1527</v>
      </c>
      <c r="H411" s="4" t="s">
        <v>1528</v>
      </c>
      <c r="I411" s="4" t="s">
        <v>118</v>
      </c>
    </row>
    <row r="412" customFormat="false" ht="15" hidden="false" customHeight="false" outlineLevel="0" collapsed="false">
      <c r="A412" s="4" t="s">
        <v>1529</v>
      </c>
      <c r="B412" s="4" t="s">
        <v>1530</v>
      </c>
      <c r="C412" s="4" t="s">
        <v>53</v>
      </c>
      <c r="D412" s="4" t="s">
        <v>54</v>
      </c>
      <c r="E412" s="4" t="n">
        <v>30</v>
      </c>
      <c r="F412" s="4" t="n">
        <v>751909</v>
      </c>
      <c r="G412" s="4" t="s">
        <v>1531</v>
      </c>
      <c r="H412" s="4" t="s">
        <v>1532</v>
      </c>
      <c r="I412" s="4" t="s">
        <v>359</v>
      </c>
    </row>
    <row r="413" customFormat="false" ht="15" hidden="false" customHeight="false" outlineLevel="0" collapsed="false">
      <c r="A413" s="4" t="s">
        <v>1533</v>
      </c>
      <c r="B413" s="4" t="s">
        <v>1534</v>
      </c>
      <c r="C413" s="4" t="s">
        <v>211</v>
      </c>
      <c r="D413" s="4" t="s">
        <v>130</v>
      </c>
      <c r="E413" s="4" t="n">
        <v>26</v>
      </c>
      <c r="F413" s="4" t="n">
        <v>434039</v>
      </c>
      <c r="G413" s="4" t="s">
        <v>1535</v>
      </c>
      <c r="H413" s="4" t="s">
        <v>1460</v>
      </c>
      <c r="I413" s="4" t="s">
        <v>17</v>
      </c>
    </row>
    <row r="414" customFormat="false" ht="15" hidden="false" customHeight="false" outlineLevel="0" collapsed="false">
      <c r="A414" s="4" t="s">
        <v>1536</v>
      </c>
      <c r="B414" s="4" t="s">
        <v>1537</v>
      </c>
      <c r="C414" s="4" t="s">
        <v>248</v>
      </c>
      <c r="D414" s="4" t="s">
        <v>48</v>
      </c>
      <c r="E414" s="4" t="n">
        <v>35</v>
      </c>
      <c r="F414" s="4" t="n">
        <v>331769</v>
      </c>
      <c r="G414" s="4" t="s">
        <v>1538</v>
      </c>
      <c r="H414" s="4" t="s">
        <v>1539</v>
      </c>
      <c r="I414" s="4" t="s">
        <v>31</v>
      </c>
    </row>
    <row r="415" customFormat="false" ht="15" hidden="false" customHeight="false" outlineLevel="0" collapsed="false">
      <c r="A415" s="4" t="s">
        <v>1540</v>
      </c>
      <c r="B415" s="4" t="s">
        <v>1541</v>
      </c>
      <c r="C415" s="4" t="s">
        <v>211</v>
      </c>
      <c r="D415" s="4" t="s">
        <v>21</v>
      </c>
      <c r="E415" s="4" t="n">
        <v>29</v>
      </c>
      <c r="F415" s="4" t="n">
        <v>51687500</v>
      </c>
      <c r="G415" s="4" t="s">
        <v>1542</v>
      </c>
      <c r="H415" s="4" t="s">
        <v>1543</v>
      </c>
      <c r="I415" s="4" t="s">
        <v>57</v>
      </c>
    </row>
    <row r="416" customFormat="false" ht="15" hidden="false" customHeight="false" outlineLevel="0" collapsed="false">
      <c r="A416" s="4" t="s">
        <v>1544</v>
      </c>
      <c r="B416" s="4" t="s">
        <v>1545</v>
      </c>
      <c r="C416" s="4" t="s">
        <v>244</v>
      </c>
      <c r="D416" s="4" t="s">
        <v>130</v>
      </c>
      <c r="E416" s="4" t="n">
        <v>21</v>
      </c>
      <c r="F416" s="4" t="n">
        <v>544126</v>
      </c>
      <c r="G416" s="4" t="s">
        <v>1546</v>
      </c>
      <c r="H416" s="4" t="s">
        <v>1547</v>
      </c>
      <c r="I416" s="4" t="s">
        <v>24</v>
      </c>
    </row>
    <row r="417" customFormat="false" ht="15" hidden="false" customHeight="false" outlineLevel="0" collapsed="false">
      <c r="A417" s="4" t="s">
        <v>1548</v>
      </c>
      <c r="B417" s="4" t="s">
        <v>1549</v>
      </c>
      <c r="C417" s="4" t="s">
        <v>13</v>
      </c>
      <c r="D417" s="4" t="s">
        <v>104</v>
      </c>
      <c r="E417" s="4" t="n">
        <v>32</v>
      </c>
      <c r="F417" s="4" t="n">
        <v>369272</v>
      </c>
      <c r="G417" s="4" t="s">
        <v>1550</v>
      </c>
      <c r="H417" s="4" t="s">
        <v>1551</v>
      </c>
      <c r="I417" s="4" t="s">
        <v>24</v>
      </c>
    </row>
    <row r="418" customFormat="false" ht="15" hidden="false" customHeight="false" outlineLevel="0" collapsed="false">
      <c r="A418" s="4" t="s">
        <v>1552</v>
      </c>
      <c r="B418" s="4" t="s">
        <v>1553</v>
      </c>
      <c r="C418" s="4" t="s">
        <v>40</v>
      </c>
      <c r="D418" s="4" t="s">
        <v>28</v>
      </c>
      <c r="E418" s="4"/>
      <c r="F418" s="4" t="n">
        <v>902541</v>
      </c>
      <c r="G418" s="4" t="s">
        <v>1554</v>
      </c>
      <c r="H418" s="4" t="s">
        <v>1555</v>
      </c>
      <c r="I418" s="4" t="s">
        <v>118</v>
      </c>
    </row>
    <row r="419" customFormat="false" ht="15" hidden="false" customHeight="false" outlineLevel="0" collapsed="false">
      <c r="A419" s="4" t="s">
        <v>1556</v>
      </c>
      <c r="B419" s="4" t="s">
        <v>1557</v>
      </c>
      <c r="C419" s="4" t="s">
        <v>262</v>
      </c>
      <c r="D419" s="4" t="s">
        <v>84</v>
      </c>
      <c r="E419" s="4" t="n">
        <v>60</v>
      </c>
      <c r="F419" s="4" t="n">
        <v>531539</v>
      </c>
      <c r="G419" s="4" t="s">
        <v>1558</v>
      </c>
      <c r="H419" s="4" t="s">
        <v>1559</v>
      </c>
      <c r="I419" s="4" t="s">
        <v>17</v>
      </c>
    </row>
    <row r="420" customFormat="false" ht="15" hidden="false" customHeight="false" outlineLevel="0" collapsed="false">
      <c r="A420" s="4" t="s">
        <v>219</v>
      </c>
      <c r="B420" s="4" t="s">
        <v>93</v>
      </c>
      <c r="C420" s="4" t="s">
        <v>220</v>
      </c>
      <c r="D420" s="4" t="s">
        <v>84</v>
      </c>
      <c r="E420" s="4" t="n">
        <v>44</v>
      </c>
      <c r="F420" s="4" t="n">
        <v>437890</v>
      </c>
      <c r="G420" s="4" t="s">
        <v>221</v>
      </c>
      <c r="H420" s="4" t="s">
        <v>96</v>
      </c>
      <c r="I420" s="4" t="s">
        <v>24</v>
      </c>
    </row>
    <row r="421" customFormat="false" ht="15" hidden="false" customHeight="false" outlineLevel="0" collapsed="false">
      <c r="A421" s="4" t="s">
        <v>1560</v>
      </c>
      <c r="B421" s="4" t="s">
        <v>1561</v>
      </c>
      <c r="C421" s="4" t="s">
        <v>216</v>
      </c>
      <c r="D421" s="4" t="s">
        <v>69</v>
      </c>
      <c r="E421" s="4" t="n">
        <v>53</v>
      </c>
      <c r="F421" s="4" t="n">
        <v>697040</v>
      </c>
      <c r="G421" s="4" t="s">
        <v>1562</v>
      </c>
      <c r="H421" s="4" t="s">
        <v>723</v>
      </c>
      <c r="I421" s="4" t="s">
        <v>17</v>
      </c>
    </row>
    <row r="422" customFormat="false" ht="15" hidden="false" customHeight="false" outlineLevel="0" collapsed="false">
      <c r="A422" s="4" t="s">
        <v>1563</v>
      </c>
      <c r="B422" s="4" t="s">
        <v>1564</v>
      </c>
      <c r="C422" s="4" t="s">
        <v>135</v>
      </c>
      <c r="D422" s="4" t="s">
        <v>21</v>
      </c>
      <c r="E422" s="4" t="n">
        <v>27</v>
      </c>
      <c r="F422" s="4" t="n">
        <v>317865</v>
      </c>
      <c r="G422" s="4" t="s">
        <v>1565</v>
      </c>
      <c r="H422" s="4" t="s">
        <v>1566</v>
      </c>
      <c r="I422" s="4" t="s">
        <v>37</v>
      </c>
    </row>
    <row r="423" customFormat="false" ht="15" hidden="false" customHeight="false" outlineLevel="0" collapsed="false">
      <c r="A423" s="4" t="s">
        <v>1567</v>
      </c>
      <c r="B423" s="4" t="s">
        <v>1568</v>
      </c>
      <c r="C423" s="4" t="s">
        <v>434</v>
      </c>
      <c r="D423" s="4" t="s">
        <v>130</v>
      </c>
      <c r="E423" s="4" t="n">
        <v>29</v>
      </c>
      <c r="F423" s="4" t="n">
        <v>-94947</v>
      </c>
      <c r="G423" s="4" t="s">
        <v>1569</v>
      </c>
      <c r="H423" s="4" t="s">
        <v>1570</v>
      </c>
      <c r="I423" s="4" t="s">
        <v>17</v>
      </c>
    </row>
    <row r="424" customFormat="false" ht="15" hidden="false" customHeight="false" outlineLevel="0" collapsed="false">
      <c r="A424" s="4" t="s">
        <v>1571</v>
      </c>
      <c r="B424" s="4" t="s">
        <v>1572</v>
      </c>
      <c r="C424" s="4" t="s">
        <v>267</v>
      </c>
      <c r="D424" s="4" t="s">
        <v>69</v>
      </c>
      <c r="E424" s="4" t="n">
        <v>44</v>
      </c>
      <c r="F424" s="4" t="n">
        <v>347459</v>
      </c>
      <c r="G424" s="4" t="s">
        <v>1573</v>
      </c>
      <c r="H424" s="4" t="s">
        <v>532</v>
      </c>
      <c r="I424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9" min="7" style="0" width="20"/>
  </cols>
  <sheetData>
    <row r="1" customFormat="false" ht="17.35" hidden="false" customHeight="false" outlineLevel="0" collapsed="false">
      <c r="A1" s="1" t="s">
        <v>1574</v>
      </c>
    </row>
    <row r="2" customFormat="false" ht="15" hidden="false" customHeight="false" outlineLevel="0" collapsed="false">
      <c r="A2" s="2" t="s">
        <v>1575</v>
      </c>
    </row>
    <row r="4" customFormat="false" ht="15" hidden="false" customHeight="false" outlineLevel="0" collapsed="false">
      <c r="A4" s="5" t="s">
        <v>1576</v>
      </c>
      <c r="B4" s="5" t="s">
        <v>1577</v>
      </c>
      <c r="D4" s="5" t="s">
        <v>1578</v>
      </c>
      <c r="E4" s="5" t="s">
        <v>1577</v>
      </c>
      <c r="G4" s="5" t="s">
        <v>1579</v>
      </c>
      <c r="H4" s="5" t="s">
        <v>1577</v>
      </c>
    </row>
    <row r="5" customFormat="false" ht="15" hidden="false" customHeight="false" outlineLevel="0" collapsed="false">
      <c r="A5" s="6" t="s">
        <v>140</v>
      </c>
      <c r="B5" s="6" t="s">
        <v>253</v>
      </c>
      <c r="D5" s="6" t="s">
        <v>84</v>
      </c>
      <c r="E5" s="6" t="s">
        <v>54</v>
      </c>
      <c r="G5" s="6" t="s">
        <v>44</v>
      </c>
      <c r="H5" s="6" t="s">
        <v>31</v>
      </c>
    </row>
    <row r="6" customFormat="false" ht="15" hidden="false" customHeight="false" outlineLevel="0" collapsed="false">
      <c r="A6" s="6" t="s">
        <v>1580</v>
      </c>
      <c r="B6" s="6" t="s">
        <v>253</v>
      </c>
      <c r="D6" s="6" t="s">
        <v>28</v>
      </c>
      <c r="E6" s="6" t="s">
        <v>54</v>
      </c>
      <c r="G6" s="6" t="s">
        <v>1581</v>
      </c>
      <c r="H6" s="6" t="s">
        <v>31</v>
      </c>
    </row>
    <row r="7" customFormat="false" ht="15" hidden="false" customHeight="false" outlineLevel="0" collapsed="false">
      <c r="A7" s="6" t="s">
        <v>248</v>
      </c>
      <c r="B7" s="6" t="s">
        <v>60</v>
      </c>
      <c r="D7" s="6" t="s">
        <v>41</v>
      </c>
      <c r="E7" s="6" t="s">
        <v>69</v>
      </c>
      <c r="G7" s="6" t="s">
        <v>57</v>
      </c>
      <c r="H7" s="6" t="s">
        <v>389</v>
      </c>
    </row>
    <row r="8" customFormat="false" ht="15" hidden="false" customHeight="false" outlineLevel="0" collapsed="false">
      <c r="A8" s="6" t="s">
        <v>1582</v>
      </c>
      <c r="B8" s="6" t="s">
        <v>60</v>
      </c>
      <c r="D8" s="6" t="s">
        <v>104</v>
      </c>
      <c r="E8" s="6" t="s">
        <v>69</v>
      </c>
      <c r="G8" s="6" t="s">
        <v>1583</v>
      </c>
      <c r="H8" s="6" t="s">
        <v>389</v>
      </c>
    </row>
    <row r="9" customFormat="false" ht="15" hidden="false" customHeight="false" outlineLevel="0" collapsed="false">
      <c r="A9" s="6" t="s">
        <v>1584</v>
      </c>
      <c r="B9" s="6" t="s">
        <v>60</v>
      </c>
      <c r="G9" s="6" t="s">
        <v>1585</v>
      </c>
      <c r="H9" s="6" t="s">
        <v>389</v>
      </c>
    </row>
    <row r="10" customFormat="false" ht="15" hidden="false" customHeight="false" outlineLevel="0" collapsed="false">
      <c r="A10" s="6" t="s">
        <v>40</v>
      </c>
      <c r="B10" s="6" t="s">
        <v>146</v>
      </c>
    </row>
    <row r="11" customFormat="false" ht="15" hidden="false" customHeight="false" outlineLevel="0" collapsed="false">
      <c r="A11" s="6" t="s">
        <v>1586</v>
      </c>
      <c r="B11" s="6" t="s">
        <v>146</v>
      </c>
    </row>
    <row r="12" customFormat="false" ht="15" hidden="false" customHeight="false" outlineLevel="0" collapsed="false">
      <c r="A12" s="6" t="s">
        <v>1587</v>
      </c>
      <c r="B12" s="6" t="s">
        <v>146</v>
      </c>
    </row>
    <row r="13" customFormat="false" ht="15" hidden="false" customHeight="false" outlineLevel="0" collapsed="false">
      <c r="A13" s="6" t="s">
        <v>382</v>
      </c>
      <c r="B13" s="6" t="s">
        <v>382</v>
      </c>
    </row>
    <row r="14" customFormat="false" ht="15" hidden="false" customHeight="false" outlineLevel="0" collapsed="false">
      <c r="A14" s="6" t="s">
        <v>135</v>
      </c>
      <c r="B14" s="6" t="s">
        <v>382</v>
      </c>
    </row>
    <row r="15" customFormat="false" ht="15" hidden="false" customHeight="false" outlineLevel="0" collapsed="false">
      <c r="A15" s="6" t="s">
        <v>1588</v>
      </c>
      <c r="B15" s="6" t="s">
        <v>382</v>
      </c>
    </row>
    <row r="16" customFormat="false" ht="15" hidden="false" customHeight="false" outlineLevel="0" collapsed="false">
      <c r="A16" s="6" t="s">
        <v>47</v>
      </c>
      <c r="B16" s="6" t="s">
        <v>47</v>
      </c>
    </row>
    <row r="17" customFormat="false" ht="15" hidden="false" customHeight="false" outlineLevel="0" collapsed="false">
      <c r="A17" s="6" t="s">
        <v>94</v>
      </c>
      <c r="B17" s="6" t="s">
        <v>47</v>
      </c>
    </row>
    <row r="18" customFormat="false" ht="15" hidden="false" customHeight="false" outlineLevel="0" collapsed="false">
      <c r="A18" s="6" t="s">
        <v>1589</v>
      </c>
      <c r="B18" s="6" t="s">
        <v>47</v>
      </c>
    </row>
    <row r="19" customFormat="false" ht="15" hidden="false" customHeight="false" outlineLevel="0" collapsed="false">
      <c r="A19" s="6" t="s">
        <v>244</v>
      </c>
      <c r="B19" s="6" t="s">
        <v>20</v>
      </c>
    </row>
    <row r="20" customFormat="false" ht="15" hidden="false" customHeight="false" outlineLevel="0" collapsed="false">
      <c r="A20" s="6" t="s">
        <v>216</v>
      </c>
      <c r="B20" s="6" t="s">
        <v>20</v>
      </c>
    </row>
    <row r="21" customFormat="false" ht="15" hidden="false" customHeight="false" outlineLevel="0" collapsed="false">
      <c r="A21" s="6" t="s">
        <v>1590</v>
      </c>
      <c r="B21" s="6" t="s">
        <v>20</v>
      </c>
    </row>
    <row r="22" customFormat="false" ht="15" hidden="false" customHeight="false" outlineLevel="0" collapsed="false">
      <c r="A22" s="6" t="s">
        <v>1591</v>
      </c>
      <c r="B22" s="6" t="s">
        <v>185</v>
      </c>
    </row>
    <row r="23" customFormat="false" ht="15" hidden="false" customHeight="false" outlineLevel="0" collapsed="false">
      <c r="A23" s="6" t="s">
        <v>27</v>
      </c>
      <c r="B23" s="6" t="s">
        <v>185</v>
      </c>
    </row>
    <row r="24" customFormat="false" ht="15" hidden="false" customHeight="false" outlineLevel="0" collapsed="false">
      <c r="A24" s="6" t="s">
        <v>1592</v>
      </c>
      <c r="B24" s="6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1593</v>
      </c>
    </row>
    <row r="2" customFormat="false" ht="15" hidden="false" customHeight="false" outlineLevel="0" collapsed="false">
      <c r="A2" s="2" t="s">
        <v>1594</v>
      </c>
    </row>
    <row r="4" customFormat="false" ht="15" hidden="false" customHeight="false" outlineLevel="0" collapsed="false">
      <c r="A4" s="3" t="s">
        <v>2</v>
      </c>
      <c r="B4" s="3" t="s">
        <v>1595</v>
      </c>
      <c r="C4" s="3" t="s">
        <v>1596</v>
      </c>
      <c r="D4" s="3" t="s">
        <v>1597</v>
      </c>
      <c r="E4" s="3" t="s">
        <v>6</v>
      </c>
      <c r="F4" s="3" t="s">
        <v>1598</v>
      </c>
      <c r="G4" s="3" t="s">
        <v>1599</v>
      </c>
      <c r="H4" s="3" t="s">
        <v>1600</v>
      </c>
      <c r="I4" s="3" t="s">
        <v>1601</v>
      </c>
      <c r="J4" s="3" t="s">
        <v>1602</v>
      </c>
      <c r="K4" s="3" t="s">
        <v>1603</v>
      </c>
      <c r="L4" s="3" t="s">
        <v>1604</v>
      </c>
      <c r="M4" s="3" t="s">
        <v>1605</v>
      </c>
      <c r="N4" s="3" t="s">
        <v>1606</v>
      </c>
    </row>
    <row r="5" customFormat="false" ht="15" hidden="false" customHeight="false" outlineLevel="0" collapsed="false">
      <c r="A5" s="7" t="str">
        <f aca="false">'Raw_Data (Before)'!A5</f>
        <v>EMP0038</v>
      </c>
      <c r="B5" s="7" t="str">
        <f aca="false">PROPER(TRIM('Raw_Data (Before)'!B5))</f>
        <v>Yusuf Ogundipe</v>
      </c>
      <c r="C5" s="7" t="str">
        <f aca="false">IFERROR(INDEX(Lookup_Tables!$B$5:$B$24,MATCH(UPPER(TRIM('Raw_Data (Before)'!C5)),Lookup_Tables!$A$5:$A$24,0)),"UNMAPPED")</f>
        <v>Finance</v>
      </c>
      <c r="D5" s="7" t="str">
        <f aca="false">IFERROR(INDEX(Lookup_Tables!$E$5:$E$8,MATCH(UPPER(TRIM('Raw_Data (Before)'!D5)),Lookup_Tables!$D$5:$D$8,0)),"UNMAPPED")</f>
        <v>Female</v>
      </c>
      <c r="E5" s="7" t="n">
        <f aca="false">'Raw_Data (Before)'!E5</f>
        <v>38</v>
      </c>
      <c r="F5" s="7" t="str">
        <f aca="false">IF(E5="","No",IF(OR(E5&lt;16,E5&gt;75),"No","Yes"))</f>
        <v>Yes</v>
      </c>
      <c r="G5" s="7" t="n">
        <f aca="false">IFERROR(VALUE(SUBSTITUTE(SUBSTITUTE('Raw_Data (Before)'!F5,"₦",""),",","")),"")</f>
        <v>-784644</v>
      </c>
      <c r="H5" s="7" t="str">
        <f aca="false">IF(G5="","No",IF(OR(G5&lt;=0,G5&gt;5000000),"No","Yes"))</f>
        <v>No</v>
      </c>
      <c r="I5" s="8" t="n">
        <f aca="false">IFERROR(DATEVALUE('Raw_Data (Before)'!G5),"")</f>
        <v>43152</v>
      </c>
      <c r="J5" s="7" t="str">
        <f aca="false">IF(I5="","No","Yes")</f>
        <v>Yes</v>
      </c>
      <c r="K5" s="7" t="str">
        <f aca="false">IF(OR(ISERROR(FIND("@",'Raw_Data (Before)'!H5)),ISNUMBER(FIND("@@",'Raw_Data (Before)'!H5)),ISNUMBER(FIND(" ",'Raw_Data (Before)'!H5)),ISERROR(FIND(".",'Raw_Data (Before)'!H5,FIND("@",'Raw_Data (Before)'!H5)))),"No","Yes")</f>
        <v>Yes</v>
      </c>
      <c r="L5" s="7" t="str">
        <f aca="false">IFERROR(INDEX(Lookup_Tables!$H$5:$H$9,MATCH(UPPER(TRIM('Raw_Data (Before)'!I5)),Lookup_Tables!$G$5:$G$9,0)),"UNMAPPED")</f>
        <v>Active</v>
      </c>
      <c r="M5" s="7" t="str">
        <f aca="false">IF(COUNTIF('Raw_Data (Before)'!$A$5:$A$424,A5)&gt;1,"YES","No")</f>
        <v>No</v>
      </c>
      <c r="N5" s="7" t="str">
        <f aca="false">IF(OR(C5="UNMAPPED",D5="UNMAPPED",F5="No",H5="No",J5="No",K5="No",L5="UNMAPPED",M5="YES"),"NEEDS REVIEW","OK")</f>
        <v>NEEDS REVIEW</v>
      </c>
    </row>
    <row r="6" customFormat="false" ht="15" hidden="false" customHeight="false" outlineLevel="0" collapsed="false">
      <c r="A6" s="7" t="str">
        <f aca="false">'Raw_Data (Before)'!A6</f>
        <v>EMP0375</v>
      </c>
      <c r="B6" s="7" t="str">
        <f aca="false">PROPER(TRIM('Raw_Data (Before)'!B6))</f>
        <v>Esther Abubakar</v>
      </c>
      <c r="C6" s="7" t="str">
        <f aca="false">IFERROR(INDEX(Lookup_Tables!$B$5:$B$24,MATCH(UPPER(TRIM('Raw_Data (Before)'!C6)),Lookup_Tables!$A$5:$A$24,0)),"UNMAPPED")</f>
        <v>Marketing</v>
      </c>
      <c r="D6" s="7" t="str">
        <f aca="false">IFERROR(INDEX(Lookup_Tables!$E$5:$E$8,MATCH(UPPER(TRIM('Raw_Data (Before)'!D6)),Lookup_Tables!$D$5:$D$8,0)),"UNMAPPED")</f>
        <v>Male</v>
      </c>
      <c r="E6" s="7" t="n">
        <f aca="false">'Raw_Data (Before)'!E6</f>
        <v>53</v>
      </c>
      <c r="F6" s="7" t="str">
        <f aca="false">IF(E6="","No",IF(OR(E6&lt;16,E6&gt;75),"No","Yes"))</f>
        <v>Yes</v>
      </c>
      <c r="G6" s="7" t="n">
        <f aca="false">IFERROR(VALUE(SUBSTITUTE(SUBSTITUTE('Raw_Data (Before)'!F6,"₦",""),",","")),"")</f>
        <v>235107</v>
      </c>
      <c r="H6" s="7" t="str">
        <f aca="false">IF(G6="","No",IF(OR(G6&lt;=0,G6&gt;5000000),"No","Yes"))</f>
        <v>Yes</v>
      </c>
      <c r="I6" s="8" t="n">
        <f aca="false">IFERROR(DATEVALUE('Raw_Data (Before)'!G6),"")</f>
        <v>43553</v>
      </c>
      <c r="J6" s="7" t="str">
        <f aca="false">IF(I6="","No","Yes")</f>
        <v>Yes</v>
      </c>
      <c r="K6" s="7" t="str">
        <f aca="false">IF(OR(ISERROR(FIND("@",'Raw_Data (Before)'!H6)),ISNUMBER(FIND("@@",'Raw_Data (Before)'!H6)),ISNUMBER(FIND(" ",'Raw_Data (Before)'!H6)),ISERROR(FIND(".",'Raw_Data (Before)'!H6,FIND("@",'Raw_Data (Before)'!H6)))),"No","Yes")</f>
        <v>Yes</v>
      </c>
      <c r="L6" s="7" t="str">
        <f aca="false">IFERROR(INDEX(Lookup_Tables!$H$5:$H$9,MATCH(UPPER(TRIM('Raw_Data (Before)'!I6)),Lookup_Tables!$G$5:$G$9,0)),"UNMAPPED")</f>
        <v>Active</v>
      </c>
      <c r="M6" s="7" t="str">
        <f aca="false">IF(COUNTIF('Raw_Data (Before)'!$A$5:$A$424,A6)&gt;1,"YES","No")</f>
        <v>No</v>
      </c>
      <c r="N6" s="7" t="str">
        <f aca="false">IF(OR(C6="UNMAPPED",D6="UNMAPPED",F6="No",H6="No",J6="No",K6="No",L6="UNMAPPED",M6="YES"),"NEEDS REVIEW","OK")</f>
        <v>OK</v>
      </c>
    </row>
    <row r="7" customFormat="false" ht="15" hidden="false" customHeight="false" outlineLevel="0" collapsed="false">
      <c r="A7" s="7" t="str">
        <f aca="false">'Raw_Data (Before)'!A7</f>
        <v>EMP0110</v>
      </c>
      <c r="B7" s="7" t="str">
        <f aca="false">PROPER(TRIM('Raw_Data (Before)'!B7))</f>
        <v>Chinedu Adamu</v>
      </c>
      <c r="C7" s="7" t="str">
        <f aca="false">IFERROR(INDEX(Lookup_Tables!$B$5:$B$24,MATCH(UPPER(TRIM('Raw_Data (Before)'!C7)),Lookup_Tables!$A$5:$A$24,0)),"UNMAPPED")</f>
        <v>Customer Service</v>
      </c>
      <c r="D7" s="7" t="str">
        <f aca="false">IFERROR(INDEX(Lookup_Tables!$E$5:$E$8,MATCH(UPPER(TRIM('Raw_Data (Before)'!D7)),Lookup_Tables!$D$5:$D$8,0)),"UNMAPPED")</f>
        <v>Male</v>
      </c>
      <c r="E7" s="7" t="n">
        <f aca="false">'Raw_Data (Before)'!E7</f>
        <v>56</v>
      </c>
      <c r="F7" s="7" t="str">
        <f aca="false">IF(E7="","No",IF(OR(E7&lt;16,E7&gt;75),"No","Yes"))</f>
        <v>Yes</v>
      </c>
      <c r="G7" s="7" t="n">
        <f aca="false">IFERROR(VALUE(SUBSTITUTE(SUBSTITUTE('Raw_Data (Before)'!F7,"₦",""),",","")),"")</f>
        <v>204175</v>
      </c>
      <c r="H7" s="7" t="str">
        <f aca="false">IF(G7="","No",IF(OR(G7&lt;=0,G7&gt;5000000),"No","Yes"))</f>
        <v>Yes</v>
      </c>
      <c r="I7" s="8" t="n">
        <f aca="false">IFERROR(DATEVALUE('Raw_Data (Before)'!G7),"")</f>
        <v>44897</v>
      </c>
      <c r="J7" s="7" t="str">
        <f aca="false">IF(I7="","No","Yes")</f>
        <v>Yes</v>
      </c>
      <c r="K7" s="7" t="str">
        <f aca="false">IF(OR(ISERROR(FIND("@",'Raw_Data (Before)'!H7)),ISNUMBER(FIND("@@",'Raw_Data (Before)'!H7)),ISNUMBER(FIND(" ",'Raw_Data (Before)'!H7)),ISERROR(FIND(".",'Raw_Data (Before)'!H7,FIND("@",'Raw_Data (Before)'!H7)))),"No","Yes")</f>
        <v>Yes</v>
      </c>
      <c r="L7" s="7" t="str">
        <f aca="false">IFERROR(INDEX(Lookup_Tables!$H$5:$H$9,MATCH(UPPER(TRIM('Raw_Data (Before)'!I7)),Lookup_Tables!$G$5:$G$9,0)),"UNMAPPED")</f>
        <v>Active</v>
      </c>
      <c r="M7" s="7" t="str">
        <f aca="false">IF(COUNTIF('Raw_Data (Before)'!$A$5:$A$424,A7)&gt;1,"YES","No")</f>
        <v>No</v>
      </c>
      <c r="N7" s="7" t="str">
        <f aca="false">IF(OR(C7="UNMAPPED",D7="UNMAPPED",F7="No",H7="No",J7="No",K7="No",L7="UNMAPPED",M7="YES"),"NEEDS REVIEW","OK")</f>
        <v>OK</v>
      </c>
    </row>
    <row r="8" customFormat="false" ht="15" hidden="false" customHeight="false" outlineLevel="0" collapsed="false">
      <c r="A8" s="7" t="str">
        <f aca="false">'Raw_Data (Before)'!A8</f>
        <v>EMP0046</v>
      </c>
      <c r="B8" s="7" t="str">
        <f aca="false">PROPER(TRIM('Raw_Data (Before)'!B8))</f>
        <v>Yusuf Nwosu</v>
      </c>
      <c r="C8" s="7" t="str">
        <f aca="false">IFERROR(INDEX(Lookup_Tables!$B$5:$B$24,MATCH(UPPER(TRIM('Raw_Data (Before)'!C8)),Lookup_Tables!$A$5:$A$24,0)),"UNMAPPED")</f>
        <v>IT</v>
      </c>
      <c r="D8" s="7" t="str">
        <f aca="false">IFERROR(INDEX(Lookup_Tables!$E$5:$E$8,MATCH(UPPER(TRIM('Raw_Data (Before)'!D8)),Lookup_Tables!$D$5:$D$8,0)),"UNMAPPED")</f>
        <v>Male</v>
      </c>
      <c r="E8" s="7" t="n">
        <f aca="false">'Raw_Data (Before)'!E8</f>
        <v>36</v>
      </c>
      <c r="F8" s="7" t="str">
        <f aca="false">IF(E8="","No",IF(OR(E8&lt;16,E8&gt;75),"No","Yes"))</f>
        <v>Yes</v>
      </c>
      <c r="G8" s="7" t="n">
        <f aca="false">IFERROR(VALUE(SUBSTITUTE(SUBSTITUTE('Raw_Data (Before)'!F8,"₦",""),",","")),"")</f>
        <v>175121</v>
      </c>
      <c r="H8" s="7" t="str">
        <f aca="false">IF(G8="","No",IF(OR(G8&lt;=0,G8&gt;5000000),"No","Yes"))</f>
        <v>Yes</v>
      </c>
      <c r="I8" s="8" t="str">
        <f aca="false">IFERROR(DATEVALUE('Raw_Data (Before)'!G8),"")</f>
        <v/>
      </c>
      <c r="J8" s="7" t="str">
        <f aca="false">IF(I8="","No","Yes")</f>
        <v>No</v>
      </c>
      <c r="K8" s="7" t="str">
        <f aca="false">IF(OR(ISERROR(FIND("@",'Raw_Data (Before)'!H8)),ISNUMBER(FIND("@@",'Raw_Data (Before)'!H8)),ISNUMBER(FIND(" ",'Raw_Data (Before)'!H8)),ISERROR(FIND(".",'Raw_Data (Before)'!H8,FIND("@",'Raw_Data (Before)'!H8)))),"No","Yes")</f>
        <v>Yes</v>
      </c>
      <c r="L8" s="7" t="str">
        <f aca="false">IFERROR(INDEX(Lookup_Tables!$H$5:$H$9,MATCH(UPPER(TRIM('Raw_Data (Before)'!I8)),Lookup_Tables!$G$5:$G$9,0)),"UNMAPPED")</f>
        <v>Inactive</v>
      </c>
      <c r="M8" s="7" t="str">
        <f aca="false">IF(COUNTIF('Raw_Data (Before)'!$A$5:$A$424,A8)&gt;1,"YES","No")</f>
        <v>No</v>
      </c>
      <c r="N8" s="7" t="str">
        <f aca="false">IF(OR(C8="UNMAPPED",D8="UNMAPPED",F8="No",H8="No",J8="No",K8="No",L8="UNMAPPED",M8="YES"),"NEEDS REVIEW","OK")</f>
        <v>NEEDS REVIEW</v>
      </c>
    </row>
    <row r="9" customFormat="false" ht="15" hidden="false" customHeight="false" outlineLevel="0" collapsed="false">
      <c r="A9" s="7" t="str">
        <f aca="false">'Raw_Data (Before)'!A9</f>
        <v>EMP0092</v>
      </c>
      <c r="B9" s="7" t="str">
        <f aca="false">PROPER(TRIM('Raw_Data (Before)'!B9))</f>
        <v>Ahmed Umeh</v>
      </c>
      <c r="C9" s="7" t="str">
        <f aca="false">IFERROR(INDEX(Lookup_Tables!$B$5:$B$24,MATCH(UPPER(TRIM('Raw_Data (Before)'!C9)),Lookup_Tables!$A$5:$A$24,0)),"UNMAPPED")</f>
        <v>Operations</v>
      </c>
      <c r="D9" s="7" t="str">
        <f aca="false">IFERROR(INDEX(Lookup_Tables!$E$5:$E$8,MATCH(UPPER(TRIM('Raw_Data (Before)'!D9)),Lookup_Tables!$D$5:$D$8,0)),"UNMAPPED")</f>
        <v>Female</v>
      </c>
      <c r="E9" s="7" t="n">
        <f aca="false">'Raw_Data (Before)'!E9</f>
        <v>41</v>
      </c>
      <c r="F9" s="7" t="str">
        <f aca="false">IF(E9="","No",IF(OR(E9&lt;16,E9&gt;75),"No","Yes"))</f>
        <v>Yes</v>
      </c>
      <c r="G9" s="7" t="n">
        <f aca="false">IFERROR(VALUE(SUBSTITUTE(SUBSTITUTE('Raw_Data (Before)'!F9,"₦",""),",","")),"")</f>
        <v>886603</v>
      </c>
      <c r="H9" s="7" t="str">
        <f aca="false">IF(G9="","No",IF(OR(G9&lt;=0,G9&gt;5000000),"No","Yes"))</f>
        <v>Yes</v>
      </c>
      <c r="I9" s="8" t="n">
        <f aca="false">IFERROR(DATEVALUE('Raw_Data (Before)'!G9),"")</f>
        <v>43299</v>
      </c>
      <c r="J9" s="7" t="str">
        <f aca="false">IF(I9="","No","Yes")</f>
        <v>Yes</v>
      </c>
      <c r="K9" s="7" t="str">
        <f aca="false">IF(OR(ISERROR(FIND("@",'Raw_Data (Before)'!H9)),ISNUMBER(FIND("@@",'Raw_Data (Before)'!H9)),ISNUMBER(FIND(" ",'Raw_Data (Before)'!H9)),ISERROR(FIND(".",'Raw_Data (Before)'!H9,FIND("@",'Raw_Data (Before)'!H9)))),"No","Yes")</f>
        <v>Yes</v>
      </c>
      <c r="L9" s="7" t="str">
        <f aca="false">IFERROR(INDEX(Lookup_Tables!$H$5:$H$9,MATCH(UPPER(TRIM('Raw_Data (Before)'!I9)),Lookup_Tables!$G$5:$G$9,0)),"UNMAPPED")</f>
        <v>Active</v>
      </c>
      <c r="M9" s="7" t="str">
        <f aca="false">IF(COUNTIF('Raw_Data (Before)'!$A$5:$A$424,A9)&gt;1,"YES","No")</f>
        <v>No</v>
      </c>
      <c r="N9" s="7" t="str">
        <f aca="false">IF(OR(C9="UNMAPPED",D9="UNMAPPED",F9="No",H9="No",J9="No",K9="No",L9="UNMAPPED",M9="YES"),"NEEDS REVIEW","OK")</f>
        <v>OK</v>
      </c>
    </row>
    <row r="10" customFormat="false" ht="15" hidden="false" customHeight="false" outlineLevel="0" collapsed="false">
      <c r="A10" s="7" t="str">
        <f aca="false">'Raw_Data (Before)'!A10</f>
        <v>EMP0324</v>
      </c>
      <c r="B10" s="7" t="str">
        <f aca="false">PROPER(TRIM('Raw_Data (Before)'!B10))</f>
        <v>Daniel Ajayi</v>
      </c>
      <c r="C10" s="7" t="str">
        <f aca="false">IFERROR(INDEX(Lookup_Tables!$B$5:$B$24,MATCH(UPPER(TRIM('Raw_Data (Before)'!C10)),Lookup_Tables!$A$5:$A$24,0)),"UNMAPPED")</f>
        <v>IT</v>
      </c>
      <c r="D10" s="7" t="str">
        <f aca="false">IFERROR(INDEX(Lookup_Tables!$E$5:$E$8,MATCH(UPPER(TRIM('Raw_Data (Before)'!D10)),Lookup_Tables!$D$5:$D$8,0)),"UNMAPPED")</f>
        <v>Female</v>
      </c>
      <c r="E10" s="7" t="n">
        <f aca="false">'Raw_Data (Before)'!E10</f>
        <v>50</v>
      </c>
      <c r="F10" s="7" t="str">
        <f aca="false">IF(E10="","No",IF(OR(E10&lt;16,E10&gt;75),"No","Yes"))</f>
        <v>Yes</v>
      </c>
      <c r="G10" s="7" t="n">
        <f aca="false">IFERROR(VALUE(SUBSTITUTE(SUBSTITUTE('Raw_Data (Before)'!F10,"₦",""),",","")),"")</f>
        <v>332625</v>
      </c>
      <c r="H10" s="7" t="str">
        <f aca="false">IF(G10="","No",IF(OR(G10&lt;=0,G10&gt;5000000),"No","Yes"))</f>
        <v>Yes</v>
      </c>
      <c r="I10" s="8" t="n">
        <f aca="false">IFERROR(DATEVALUE('Raw_Data (Before)'!G10),"")</f>
        <v>43890</v>
      </c>
      <c r="J10" s="7" t="str">
        <f aca="false">IF(I10="","No","Yes")</f>
        <v>Yes</v>
      </c>
      <c r="K10" s="7" t="str">
        <f aca="false">IF(OR(ISERROR(FIND("@",'Raw_Data (Before)'!H10)),ISNUMBER(FIND("@@",'Raw_Data (Before)'!H10)),ISNUMBER(FIND(" ",'Raw_Data (Before)'!H10)),ISERROR(FIND(".",'Raw_Data (Before)'!H10,FIND("@",'Raw_Data (Before)'!H10)))),"No","Yes")</f>
        <v>Yes</v>
      </c>
      <c r="L10" s="7" t="str">
        <f aca="false">IFERROR(INDEX(Lookup_Tables!$H$5:$H$9,MATCH(UPPER(TRIM('Raw_Data (Before)'!I10)),Lookup_Tables!$G$5:$G$9,0)),"UNMAPPED")</f>
        <v>Active</v>
      </c>
      <c r="M10" s="7" t="str">
        <f aca="false">IF(COUNTIF('Raw_Data (Before)'!$A$5:$A$424,A10)&gt;1,"YES","No")</f>
        <v>No</v>
      </c>
      <c r="N10" s="7" t="str">
        <f aca="false">IF(OR(C10="UNMAPPED",D10="UNMAPPED",F10="No",H10="No",J10="No",K10="No",L10="UNMAPPED",M10="YES"),"NEEDS REVIEW","OK")</f>
        <v>OK</v>
      </c>
    </row>
    <row r="11" customFormat="false" ht="15" hidden="false" customHeight="false" outlineLevel="0" collapsed="false">
      <c r="A11" s="7" t="str">
        <f aca="false">'Raw_Data (Before)'!A11</f>
        <v>EMP0098</v>
      </c>
      <c r="B11" s="7" t="str">
        <f aca="false">PROPER(TRIM('Raw_Data (Before)'!B11))</f>
        <v>Hauwa Nwosu</v>
      </c>
      <c r="C11" s="7" t="str">
        <f aca="false">IFERROR(INDEX(Lookup_Tables!$B$5:$B$24,MATCH(UPPER(TRIM('Raw_Data (Before)'!C11)),Lookup_Tables!$A$5:$A$24,0)),"UNMAPPED")</f>
        <v>Operations</v>
      </c>
      <c r="D11" s="7" t="str">
        <f aca="false">IFERROR(INDEX(Lookup_Tables!$E$5:$E$8,MATCH(UPPER(TRIM('Raw_Data (Before)'!D11)),Lookup_Tables!$D$5:$D$8,0)),"UNMAPPED")</f>
        <v>Male</v>
      </c>
      <c r="E11" s="7" t="n">
        <f aca="false">'Raw_Data (Before)'!E11</f>
        <v>36</v>
      </c>
      <c r="F11" s="7" t="str">
        <f aca="false">IF(E11="","No",IF(OR(E11&lt;16,E11&gt;75),"No","Yes"))</f>
        <v>Yes</v>
      </c>
      <c r="G11" s="7" t="n">
        <f aca="false">IFERROR(VALUE(SUBSTITUTE(SUBSTITUTE('Raw_Data (Before)'!F11,"₦",""),",","")),"")</f>
        <v>424011</v>
      </c>
      <c r="H11" s="7" t="str">
        <f aca="false">IF(G11="","No",IF(OR(G11&lt;=0,G11&gt;5000000),"No","Yes"))</f>
        <v>Yes</v>
      </c>
      <c r="I11" s="8" t="n">
        <f aca="false">IFERROR(DATEVALUE('Raw_Data (Before)'!G11),"")</f>
        <v>45570</v>
      </c>
      <c r="J11" s="7" t="str">
        <f aca="false">IF(I11="","No","Yes")</f>
        <v>Yes</v>
      </c>
      <c r="K11" s="7" t="str">
        <f aca="false">IF(OR(ISERROR(FIND("@",'Raw_Data (Before)'!H11)),ISNUMBER(FIND("@@",'Raw_Data (Before)'!H11)),ISNUMBER(FIND(" ",'Raw_Data (Before)'!H11)),ISERROR(FIND(".",'Raw_Data (Before)'!H11,FIND("@",'Raw_Data (Before)'!H11)))),"No","Yes")</f>
        <v>Yes</v>
      </c>
      <c r="L11" s="7" t="str">
        <f aca="false">IFERROR(INDEX(Lookup_Tables!$H$5:$H$9,MATCH(UPPER(TRIM('Raw_Data (Before)'!I11)),Lookup_Tables!$G$5:$G$9,0)),"UNMAPPED")</f>
        <v>Inactive</v>
      </c>
      <c r="M11" s="7" t="str">
        <f aca="false">IF(COUNTIF('Raw_Data (Before)'!$A$5:$A$424,A11)&gt;1,"YES","No")</f>
        <v>No</v>
      </c>
      <c r="N11" s="7" t="str">
        <f aca="false">IF(OR(C11="UNMAPPED",D11="UNMAPPED",F11="No",H11="No",J11="No",K11="No",L11="UNMAPPED",M11="YES"),"NEEDS REVIEW","OK")</f>
        <v>OK</v>
      </c>
    </row>
    <row r="12" customFormat="false" ht="15" hidden="false" customHeight="false" outlineLevel="0" collapsed="false">
      <c r="A12" s="7" t="str">
        <f aca="false">'Raw_Data (Before)'!A12</f>
        <v>EMP0326</v>
      </c>
      <c r="B12" s="7" t="str">
        <f aca="false">PROPER(TRIM('Raw_Data (Before)'!B12))</f>
        <v>Samuel Bello</v>
      </c>
      <c r="C12" s="7" t="str">
        <f aca="false">IFERROR(INDEX(Lookup_Tables!$B$5:$B$24,MATCH(UPPER(TRIM('Raw_Data (Before)'!C12)),Lookup_Tables!$A$5:$A$24,0)),"UNMAPPED")</f>
        <v>Finance</v>
      </c>
      <c r="D12" s="7" t="str">
        <f aca="false">IFERROR(INDEX(Lookup_Tables!$E$5:$E$8,MATCH(UPPER(TRIM('Raw_Data (Before)'!D12)),Lookup_Tables!$D$5:$D$8,0)),"UNMAPPED")</f>
        <v>Male</v>
      </c>
      <c r="E12" s="7" t="n">
        <f aca="false">'Raw_Data (Before)'!E12</f>
        <v>40</v>
      </c>
      <c r="F12" s="7" t="str">
        <f aca="false">IF(E12="","No",IF(OR(E12&lt;16,E12&gt;75),"No","Yes"))</f>
        <v>Yes</v>
      </c>
      <c r="G12" s="7" t="n">
        <f aca="false">IFERROR(VALUE(SUBSTITUTE(SUBSTITUTE('Raw_Data (Before)'!F12,"₦",""),",","")),"")</f>
        <v>138360</v>
      </c>
      <c r="H12" s="7" t="str">
        <f aca="false">IF(G12="","No",IF(OR(G12&lt;=0,G12&gt;5000000),"No","Yes"))</f>
        <v>Yes</v>
      </c>
      <c r="I12" s="8" t="n">
        <f aca="false">IFERROR(DATEVALUE('Raw_Data (Before)'!G12),"")</f>
        <v>44725</v>
      </c>
      <c r="J12" s="7" t="str">
        <f aca="false">IF(I12="","No","Yes")</f>
        <v>Yes</v>
      </c>
      <c r="K12" s="7" t="str">
        <f aca="false">IF(OR(ISERROR(FIND("@",'Raw_Data (Before)'!H12)),ISNUMBER(FIND("@@",'Raw_Data (Before)'!H12)),ISNUMBER(FIND(" ",'Raw_Data (Before)'!H12)),ISERROR(FIND(".",'Raw_Data (Before)'!H12,FIND("@",'Raw_Data (Before)'!H12)))),"No","Yes")</f>
        <v>Yes</v>
      </c>
      <c r="L12" s="7" t="str">
        <f aca="false">IFERROR(INDEX(Lookup_Tables!$H$5:$H$9,MATCH(UPPER(TRIM('Raw_Data (Before)'!I12)),Lookup_Tables!$G$5:$G$9,0)),"UNMAPPED")</f>
        <v>Active</v>
      </c>
      <c r="M12" s="7" t="str">
        <f aca="false">IF(COUNTIF('Raw_Data (Before)'!$A$5:$A$424,A12)&gt;1,"YES","No")</f>
        <v>No</v>
      </c>
      <c r="N12" s="7" t="str">
        <f aca="false">IF(OR(C12="UNMAPPED",D12="UNMAPPED",F12="No",H12="No",J12="No",K12="No",L12="UNMAPPED",M12="YES"),"NEEDS REVIEW","OK")</f>
        <v>OK</v>
      </c>
    </row>
    <row r="13" customFormat="false" ht="15" hidden="false" customHeight="false" outlineLevel="0" collapsed="false">
      <c r="A13" s="7" t="str">
        <f aca="false">'Raw_Data (Before)'!A13</f>
        <v>EMP0358</v>
      </c>
      <c r="B13" s="7" t="str">
        <f aca="false">PROPER(TRIM('Raw_Data (Before)'!B13))</f>
        <v>Peter Chukwu</v>
      </c>
      <c r="C13" s="7" t="str">
        <f aca="false">IFERROR(INDEX(Lookup_Tables!$B$5:$B$24,MATCH(UPPER(TRIM('Raw_Data (Before)'!C13)),Lookup_Tables!$A$5:$A$24,0)),"UNMAPPED")</f>
        <v>Marketing</v>
      </c>
      <c r="D13" s="7" t="str">
        <f aca="false">IFERROR(INDEX(Lookup_Tables!$E$5:$E$8,MATCH(UPPER(TRIM('Raw_Data (Before)'!D13)),Lookup_Tables!$D$5:$D$8,0)),"UNMAPPED")</f>
        <v>Female</v>
      </c>
      <c r="E13" s="7" t="n">
        <f aca="false">'Raw_Data (Before)'!E13</f>
        <v>57</v>
      </c>
      <c r="F13" s="7" t="str">
        <f aca="false">IF(E13="","No",IF(OR(E13&lt;16,E13&gt;75),"No","Yes"))</f>
        <v>Yes</v>
      </c>
      <c r="G13" s="7" t="n">
        <f aca="false">IFERROR(VALUE(SUBSTITUTE(SUBSTITUTE('Raw_Data (Before)'!F13,"₦",""),",","")),"")</f>
        <v>94473</v>
      </c>
      <c r="H13" s="7" t="str">
        <f aca="false">IF(G13="","No",IF(OR(G13&lt;=0,G13&gt;5000000),"No","Yes"))</f>
        <v>Yes</v>
      </c>
      <c r="I13" s="8" t="n">
        <f aca="false">IFERROR(DATEVALUE('Raw_Data (Before)'!G13),"")</f>
        <v>44901</v>
      </c>
      <c r="J13" s="7" t="str">
        <f aca="false">IF(I13="","No","Yes")</f>
        <v>Yes</v>
      </c>
      <c r="K13" s="7" t="str">
        <f aca="false">IF(OR(ISERROR(FIND("@",'Raw_Data (Before)'!H13)),ISNUMBER(FIND("@@",'Raw_Data (Before)'!H13)),ISNUMBER(FIND(" ",'Raw_Data (Before)'!H13)),ISERROR(FIND(".",'Raw_Data (Before)'!H13,FIND("@",'Raw_Data (Before)'!H13)))),"No","Yes")</f>
        <v>Yes</v>
      </c>
      <c r="L13" s="7" t="str">
        <f aca="false">IFERROR(INDEX(Lookup_Tables!$H$5:$H$9,MATCH(UPPER(TRIM('Raw_Data (Before)'!I13)),Lookup_Tables!$G$5:$G$9,0)),"UNMAPPED")</f>
        <v>Active</v>
      </c>
      <c r="M13" s="7" t="str">
        <f aca="false">IF(COUNTIF('Raw_Data (Before)'!$A$5:$A$424,A13)&gt;1,"YES","No")</f>
        <v>No</v>
      </c>
      <c r="N13" s="7" t="str">
        <f aca="false">IF(OR(C13="UNMAPPED",D13="UNMAPPED",F13="No",H13="No",J13="No",K13="No",L13="UNMAPPED",M13="YES"),"NEEDS REVIEW","OK")</f>
        <v>OK</v>
      </c>
    </row>
    <row r="14" customFormat="false" ht="15" hidden="false" customHeight="false" outlineLevel="0" collapsed="false">
      <c r="A14" s="7" t="str">
        <f aca="false">'Raw_Data (Before)'!A14</f>
        <v>EMP0266</v>
      </c>
      <c r="B14" s="7" t="str">
        <f aca="false">PROPER(TRIM('Raw_Data (Before)'!B14))</f>
        <v>Bisi Uche</v>
      </c>
      <c r="C14" s="7" t="str">
        <f aca="false">IFERROR(INDEX(Lookup_Tables!$B$5:$B$24,MATCH(UPPER(TRIM('Raw_Data (Before)'!C14)),Lookup_Tables!$A$5:$A$24,0)),"UNMAPPED")</f>
        <v>Operations</v>
      </c>
      <c r="D14" s="7" t="str">
        <f aca="false">IFERROR(INDEX(Lookup_Tables!$E$5:$E$8,MATCH(UPPER(TRIM('Raw_Data (Before)'!D14)),Lookup_Tables!$D$5:$D$8,0)),"UNMAPPED")</f>
        <v>Female</v>
      </c>
      <c r="E14" s="7" t="n">
        <f aca="false">'Raw_Data (Before)'!E14</f>
        <v>49</v>
      </c>
      <c r="F14" s="7" t="str">
        <f aca="false">IF(E14="","No",IF(OR(E14&lt;16,E14&gt;75),"No","Yes"))</f>
        <v>Yes</v>
      </c>
      <c r="G14" s="7" t="n">
        <f aca="false">IFERROR(VALUE(SUBSTITUTE(SUBSTITUTE('Raw_Data (Before)'!F14,"₦",""),",","")),"")</f>
        <v>50265600</v>
      </c>
      <c r="H14" s="7" t="str">
        <f aca="false">IF(G14="","No",IF(OR(G14&lt;=0,G14&gt;5000000),"No","Yes"))</f>
        <v>No</v>
      </c>
      <c r="I14" s="8" t="n">
        <f aca="false">IFERROR(DATEVALUE('Raw_Data (Before)'!G14),"")</f>
        <v>43909</v>
      </c>
      <c r="J14" s="7" t="str">
        <f aca="false">IF(I14="","No","Yes")</f>
        <v>Yes</v>
      </c>
      <c r="K14" s="7" t="str">
        <f aca="false">IF(OR(ISERROR(FIND("@",'Raw_Data (Before)'!H14)),ISNUMBER(FIND("@@",'Raw_Data (Before)'!H14)),ISNUMBER(FIND(" ",'Raw_Data (Before)'!H14)),ISERROR(FIND(".",'Raw_Data (Before)'!H14,FIND("@",'Raw_Data (Before)'!H14)))),"No","Yes")</f>
        <v>Yes</v>
      </c>
      <c r="L14" s="7" t="str">
        <f aca="false">IFERROR(INDEX(Lookup_Tables!$H$5:$H$9,MATCH(UPPER(TRIM('Raw_Data (Before)'!I14)),Lookup_Tables!$G$5:$G$9,0)),"UNMAPPED")</f>
        <v>Active</v>
      </c>
      <c r="M14" s="7" t="str">
        <f aca="false">IF(COUNTIF('Raw_Data (Before)'!$A$5:$A$424,A14)&gt;1,"YES","No")</f>
        <v>No</v>
      </c>
      <c r="N14" s="7" t="str">
        <f aca="false">IF(OR(C14="UNMAPPED",D14="UNMAPPED",F14="No",H14="No",J14="No",K14="No",L14="UNMAPPED",M14="YES"),"NEEDS REVIEW","OK")</f>
        <v>NEEDS REVIEW</v>
      </c>
    </row>
    <row r="15" customFormat="false" ht="15" hidden="false" customHeight="false" outlineLevel="0" collapsed="false">
      <c r="A15" s="7" t="str">
        <f aca="false">'Raw_Data (Before)'!A15</f>
        <v>EMP0156</v>
      </c>
      <c r="B15" s="7" t="str">
        <f aca="false">PROPER(TRIM('Raw_Data (Before)'!B15))</f>
        <v>Aisha Lawal</v>
      </c>
      <c r="C15" s="7" t="str">
        <f aca="false">IFERROR(INDEX(Lookup_Tables!$B$5:$B$24,MATCH(UPPER(TRIM('Raw_Data (Before)'!C15)),Lookup_Tables!$A$5:$A$24,0)),"UNMAPPED")</f>
        <v>Sales</v>
      </c>
      <c r="D15" s="7" t="str">
        <f aca="false">IFERROR(INDEX(Lookup_Tables!$E$5:$E$8,MATCH(UPPER(TRIM('Raw_Data (Before)'!D15)),Lookup_Tables!$D$5:$D$8,0)),"UNMAPPED")</f>
        <v>Male</v>
      </c>
      <c r="E15" s="7" t="n">
        <f aca="false">'Raw_Data (Before)'!E15</f>
        <v>59</v>
      </c>
      <c r="F15" s="7" t="str">
        <f aca="false">IF(E15="","No",IF(OR(E15&lt;16,E15&gt;75),"No","Yes"))</f>
        <v>Yes</v>
      </c>
      <c r="G15" s="7" t="n">
        <f aca="false">IFERROR(VALUE(SUBSTITUTE(SUBSTITUTE('Raw_Data (Before)'!F15,"₦",""),",","")),"")</f>
        <v>196419</v>
      </c>
      <c r="H15" s="7" t="str">
        <f aca="false">IF(G15="","No",IF(OR(G15&lt;=0,G15&gt;5000000),"No","Yes"))</f>
        <v>Yes</v>
      </c>
      <c r="I15" s="8" t="n">
        <f aca="false">IFERROR(DATEVALUE('Raw_Data (Before)'!G15),"")</f>
        <v>44812</v>
      </c>
      <c r="J15" s="7" t="str">
        <f aca="false">IF(I15="","No","Yes")</f>
        <v>Yes</v>
      </c>
      <c r="K15" s="7" t="str">
        <f aca="false">IF(OR(ISERROR(FIND("@",'Raw_Data (Before)'!H15)),ISNUMBER(FIND("@@",'Raw_Data (Before)'!H15)),ISNUMBER(FIND(" ",'Raw_Data (Before)'!H15)),ISERROR(FIND(".",'Raw_Data (Before)'!H15,FIND("@",'Raw_Data (Before)'!H15)))),"No","Yes")</f>
        <v>Yes</v>
      </c>
      <c r="L15" s="7" t="str">
        <f aca="false">IFERROR(INDEX(Lookup_Tables!$H$5:$H$9,MATCH(UPPER(TRIM('Raw_Data (Before)'!I15)),Lookup_Tables!$G$5:$G$9,0)),"UNMAPPED")</f>
        <v>Active</v>
      </c>
      <c r="M15" s="7" t="str">
        <f aca="false">IF(COUNTIF('Raw_Data (Before)'!$A$5:$A$424,A15)&gt;1,"YES","No")</f>
        <v>No</v>
      </c>
      <c r="N15" s="7" t="str">
        <f aca="false">IF(OR(C15="UNMAPPED",D15="UNMAPPED",F15="No",H15="No",J15="No",K15="No",L15="UNMAPPED",M15="YES"),"NEEDS REVIEW","OK")</f>
        <v>OK</v>
      </c>
    </row>
    <row r="16" customFormat="false" ht="15" hidden="false" customHeight="false" outlineLevel="0" collapsed="false">
      <c r="A16" s="7" t="str">
        <f aca="false">'Raw_Data (Before)'!A16</f>
        <v>EMP0217</v>
      </c>
      <c r="B16" s="7" t="str">
        <f aca="false">PROPER(TRIM('Raw_Data (Before)'!B16))</f>
        <v>Ola Ogundipe</v>
      </c>
      <c r="C16" s="7" t="str">
        <f aca="false">IFERROR(INDEX(Lookup_Tables!$B$5:$B$24,MATCH(UPPER(TRIM('Raw_Data (Before)'!C16)),Lookup_Tables!$A$5:$A$24,0)),"UNMAPPED")</f>
        <v>IT</v>
      </c>
      <c r="D16" s="7" t="str">
        <f aca="false">IFERROR(INDEX(Lookup_Tables!$E$5:$E$8,MATCH(UPPER(TRIM('Raw_Data (Before)'!D16)),Lookup_Tables!$D$5:$D$8,0)),"UNMAPPED")</f>
        <v>Male</v>
      </c>
      <c r="E16" s="7" t="n">
        <f aca="false">'Raw_Data (Before)'!E16</f>
        <v>49</v>
      </c>
      <c r="F16" s="7" t="str">
        <f aca="false">IF(E16="","No",IF(OR(E16&lt;16,E16&gt;75),"No","Yes"))</f>
        <v>Yes</v>
      </c>
      <c r="G16" s="7" t="n">
        <f aca="false">IFERROR(VALUE(SUBSTITUTE(SUBSTITUTE('Raw_Data (Before)'!F16,"₦",""),",","")),"")</f>
        <v>271152</v>
      </c>
      <c r="H16" s="7" t="str">
        <f aca="false">IF(G16="","No",IF(OR(G16&lt;=0,G16&gt;5000000),"No","Yes"))</f>
        <v>Yes</v>
      </c>
      <c r="I16" s="8" t="str">
        <f aca="false">IFERROR(DATEVALUE('Raw_Data (Before)'!G16),"")</f>
        <v/>
      </c>
      <c r="J16" s="7" t="str">
        <f aca="false">IF(I16="","No","Yes")</f>
        <v>No</v>
      </c>
      <c r="K16" s="7" t="str">
        <f aca="false">IF(OR(ISERROR(FIND("@",'Raw_Data (Before)'!H16)),ISNUMBER(FIND("@@",'Raw_Data (Before)'!H16)),ISNUMBER(FIND(" ",'Raw_Data (Before)'!H16)),ISERROR(FIND(".",'Raw_Data (Before)'!H16,FIND("@",'Raw_Data (Before)'!H16)))),"No","Yes")</f>
        <v>Yes</v>
      </c>
      <c r="L16" s="7" t="str">
        <f aca="false">IFERROR(INDEX(Lookup_Tables!$H$5:$H$9,MATCH(UPPER(TRIM('Raw_Data (Before)'!I16)),Lookup_Tables!$G$5:$G$9,0)),"UNMAPPED")</f>
        <v>Active</v>
      </c>
      <c r="M16" s="7" t="str">
        <f aca="false">IF(COUNTIF('Raw_Data (Before)'!$A$5:$A$424,A16)&gt;1,"YES","No")</f>
        <v>No</v>
      </c>
      <c r="N16" s="7" t="str">
        <f aca="false">IF(OR(C16="UNMAPPED",D16="UNMAPPED",F16="No",H16="No",J16="No",K16="No",L16="UNMAPPED",M16="YES"),"NEEDS REVIEW","OK")</f>
        <v>NEEDS REVIEW</v>
      </c>
    </row>
    <row r="17" customFormat="false" ht="15" hidden="false" customHeight="false" outlineLevel="0" collapsed="false">
      <c r="A17" s="7" t="str">
        <f aca="false">'Raw_Data (Before)'!A17</f>
        <v>EMP0018</v>
      </c>
      <c r="B17" s="7" t="str">
        <f aca="false">PROPER(TRIM('Raw_Data (Before)'!B17))</f>
        <v>Peter Adamu</v>
      </c>
      <c r="C17" s="7" t="str">
        <f aca="false">IFERROR(INDEX(Lookup_Tables!$B$5:$B$24,MATCH(UPPER(TRIM('Raw_Data (Before)'!C17)),Lookup_Tables!$A$5:$A$24,0)),"UNMAPPED")</f>
        <v>IT</v>
      </c>
      <c r="D17" s="7" t="str">
        <f aca="false">IFERROR(INDEX(Lookup_Tables!$E$5:$E$8,MATCH(UPPER(TRIM('Raw_Data (Before)'!D17)),Lookup_Tables!$D$5:$D$8,0)),"UNMAPPED")</f>
        <v>Male</v>
      </c>
      <c r="E17" s="7" t="n">
        <f aca="false">'Raw_Data (Before)'!E17</f>
        <v>48</v>
      </c>
      <c r="F17" s="7" t="str">
        <f aca="false">IF(E17="","No",IF(OR(E17&lt;16,E17&gt;75),"No","Yes"))</f>
        <v>Yes</v>
      </c>
      <c r="G17" s="7" t="n">
        <f aca="false">IFERROR(VALUE(SUBSTITUTE(SUBSTITUTE('Raw_Data (Before)'!F17,"₦",""),",","")),"")</f>
        <v>284268</v>
      </c>
      <c r="H17" s="7" t="str">
        <f aca="false">IF(G17="","No",IF(OR(G17&lt;=0,G17&gt;5000000),"No","Yes"))</f>
        <v>Yes</v>
      </c>
      <c r="I17" s="8" t="n">
        <f aca="false">IFERROR(DATEVALUE('Raw_Data (Before)'!G17),"")</f>
        <v>45257</v>
      </c>
      <c r="J17" s="7" t="str">
        <f aca="false">IF(I17="","No","Yes")</f>
        <v>Yes</v>
      </c>
      <c r="K17" s="7" t="str">
        <f aca="false">IF(OR(ISERROR(FIND("@",'Raw_Data (Before)'!H17)),ISNUMBER(FIND("@@",'Raw_Data (Before)'!H17)),ISNUMBER(FIND(" ",'Raw_Data (Before)'!H17)),ISERROR(FIND(".",'Raw_Data (Before)'!H17,FIND("@",'Raw_Data (Before)'!H17)))),"No","Yes")</f>
        <v>Yes</v>
      </c>
      <c r="L17" s="7" t="str">
        <f aca="false">IFERROR(INDEX(Lookup_Tables!$H$5:$H$9,MATCH(UPPER(TRIM('Raw_Data (Before)'!I17)),Lookup_Tables!$G$5:$G$9,0)),"UNMAPPED")</f>
        <v>Active</v>
      </c>
      <c r="M17" s="7" t="str">
        <f aca="false">IF(COUNTIF('Raw_Data (Before)'!$A$5:$A$424,A17)&gt;1,"YES","No")</f>
        <v>No</v>
      </c>
      <c r="N17" s="7" t="str">
        <f aca="false">IF(OR(C17="UNMAPPED",D17="UNMAPPED",F17="No",H17="No",J17="No",K17="No",L17="UNMAPPED",M17="YES"),"NEEDS REVIEW","OK")</f>
        <v>OK</v>
      </c>
    </row>
    <row r="18" customFormat="false" ht="15" hidden="false" customHeight="false" outlineLevel="0" collapsed="false">
      <c r="A18" s="7" t="str">
        <f aca="false">'Raw_Data (Before)'!A18</f>
        <v>EMP0299</v>
      </c>
      <c r="B18" s="7" t="str">
        <f aca="false">PROPER(TRIM('Raw_Data (Before)'!B18))</f>
        <v>David Lawal</v>
      </c>
      <c r="C18" s="7" t="str">
        <f aca="false">IFERROR(INDEX(Lookup_Tables!$B$5:$B$24,MATCH(UPPER(TRIM('Raw_Data (Before)'!C18)),Lookup_Tables!$A$5:$A$24,0)),"UNMAPPED")</f>
        <v>Customer Service</v>
      </c>
      <c r="D18" s="7" t="str">
        <f aca="false">IFERROR(INDEX(Lookup_Tables!$E$5:$E$8,MATCH(UPPER(TRIM('Raw_Data (Before)'!D18)),Lookup_Tables!$D$5:$D$8,0)),"UNMAPPED")</f>
        <v>Female</v>
      </c>
      <c r="E18" s="7" t="n">
        <f aca="false">'Raw_Data (Before)'!E18</f>
        <v>31</v>
      </c>
      <c r="F18" s="7" t="str">
        <f aca="false">IF(E18="","No",IF(OR(E18&lt;16,E18&gt;75),"No","Yes"))</f>
        <v>Yes</v>
      </c>
      <c r="G18" s="7" t="n">
        <f aca="false">IFERROR(VALUE(SUBSTITUTE(SUBSTITUTE('Raw_Data (Before)'!F18,"₦",""),",","")),"")</f>
        <v>900447</v>
      </c>
      <c r="H18" s="7" t="str">
        <f aca="false">IF(G18="","No",IF(OR(G18&lt;=0,G18&gt;5000000),"No","Yes"))</f>
        <v>Yes</v>
      </c>
      <c r="I18" s="8" t="str">
        <f aca="false">IFERROR(DATEVALUE('Raw_Data (Before)'!G18),"")</f>
        <v/>
      </c>
      <c r="J18" s="7" t="str">
        <f aca="false">IF(I18="","No","Yes")</f>
        <v>No</v>
      </c>
      <c r="K18" s="7" t="str">
        <f aca="false">IF(OR(ISERROR(FIND("@",'Raw_Data (Before)'!H18)),ISNUMBER(FIND("@@",'Raw_Data (Before)'!H18)),ISNUMBER(FIND(" ",'Raw_Data (Before)'!H18)),ISERROR(FIND(".",'Raw_Data (Before)'!H18,FIND("@",'Raw_Data (Before)'!H18)))),"No","Yes")</f>
        <v>Yes</v>
      </c>
      <c r="L18" s="7" t="str">
        <f aca="false">IFERROR(INDEX(Lookup_Tables!$H$5:$H$9,MATCH(UPPER(TRIM('Raw_Data (Before)'!I18)),Lookup_Tables!$G$5:$G$9,0)),"UNMAPPED")</f>
        <v>Active</v>
      </c>
      <c r="M18" s="7" t="str">
        <f aca="false">IF(COUNTIF('Raw_Data (Before)'!$A$5:$A$424,A18)&gt;1,"YES","No")</f>
        <v>No</v>
      </c>
      <c r="N18" s="7" t="str">
        <f aca="false">IF(OR(C18="UNMAPPED",D18="UNMAPPED",F18="No",H18="No",J18="No",K18="No",L18="UNMAPPED",M18="YES"),"NEEDS REVIEW","OK")</f>
        <v>NEEDS REVIEW</v>
      </c>
    </row>
    <row r="19" customFormat="false" ht="15" hidden="false" customHeight="false" outlineLevel="0" collapsed="false">
      <c r="A19" s="7" t="str">
        <f aca="false">'Raw_Data (Before)'!A19</f>
        <v>EMP0281</v>
      </c>
      <c r="B19" s="7" t="str">
        <f aca="false">PROPER(TRIM('Raw_Data (Before)'!B19))</f>
        <v>Amaka Nnamdi</v>
      </c>
      <c r="C19" s="7" t="str">
        <f aca="false">IFERROR(INDEX(Lookup_Tables!$B$5:$B$24,MATCH(UPPER(TRIM('Raw_Data (Before)'!C19)),Lookup_Tables!$A$5:$A$24,0)),"UNMAPPED")</f>
        <v>IT</v>
      </c>
      <c r="D19" s="7" t="str">
        <f aca="false">IFERROR(INDEX(Lookup_Tables!$E$5:$E$8,MATCH(UPPER(TRIM('Raw_Data (Before)'!D19)),Lookup_Tables!$D$5:$D$8,0)),"UNMAPPED")</f>
        <v>Female</v>
      </c>
      <c r="E19" s="7" t="n">
        <f aca="false">'Raw_Data (Before)'!E19</f>
        <v>54</v>
      </c>
      <c r="F19" s="7" t="str">
        <f aca="false">IF(E19="","No",IF(OR(E19&lt;16,E19&gt;75),"No","Yes"))</f>
        <v>Yes</v>
      </c>
      <c r="G19" s="7" t="n">
        <f aca="false">IFERROR(VALUE(SUBSTITUTE(SUBSTITUTE('Raw_Data (Before)'!F19,"₦",""),",","")),"")</f>
        <v>537962</v>
      </c>
      <c r="H19" s="7" t="str">
        <f aca="false">IF(G19="","No",IF(OR(G19&lt;=0,G19&gt;5000000),"No","Yes"))</f>
        <v>Yes</v>
      </c>
      <c r="I19" s="8" t="n">
        <f aca="false">IFERROR(DATEVALUE('Raw_Data (Before)'!G19),"")</f>
        <v>43891</v>
      </c>
      <c r="J19" s="7" t="str">
        <f aca="false">IF(I19="","No","Yes")</f>
        <v>Yes</v>
      </c>
      <c r="K19" s="7" t="str">
        <f aca="false">IF(OR(ISERROR(FIND("@",'Raw_Data (Before)'!H19)),ISNUMBER(FIND("@@",'Raw_Data (Before)'!H19)),ISNUMBER(FIND(" ",'Raw_Data (Before)'!H19)),ISERROR(FIND(".",'Raw_Data (Before)'!H19,FIND("@",'Raw_Data (Before)'!H19)))),"No","Yes")</f>
        <v>Yes</v>
      </c>
      <c r="L19" s="7" t="str">
        <f aca="false">IFERROR(INDEX(Lookup_Tables!$H$5:$H$9,MATCH(UPPER(TRIM('Raw_Data (Before)'!I19)),Lookup_Tables!$G$5:$G$9,0)),"UNMAPPED")</f>
        <v>Active</v>
      </c>
      <c r="M19" s="7" t="str">
        <f aca="false">IF(COUNTIF('Raw_Data (Before)'!$A$5:$A$424,A19)&gt;1,"YES","No")</f>
        <v>No</v>
      </c>
      <c r="N19" s="7" t="str">
        <f aca="false">IF(OR(C19="UNMAPPED",D19="UNMAPPED",F19="No",H19="No",J19="No",K19="No",L19="UNMAPPED",M19="YES"),"NEEDS REVIEW","OK")</f>
        <v>OK</v>
      </c>
    </row>
    <row r="20" customFormat="false" ht="15" hidden="false" customHeight="false" outlineLevel="0" collapsed="false">
      <c r="A20" s="7" t="str">
        <f aca="false">'Raw_Data (Before)'!A20</f>
        <v>EMP0086</v>
      </c>
      <c r="B20" s="7" t="str">
        <f aca="false">PROPER(TRIM('Raw_Data (Before)'!B20))</f>
        <v>Daniel Okafor</v>
      </c>
      <c r="C20" s="7" t="str">
        <f aca="false">IFERROR(INDEX(Lookup_Tables!$B$5:$B$24,MATCH(UPPER(TRIM('Raw_Data (Before)'!C20)),Lookup_Tables!$A$5:$A$24,0)),"UNMAPPED")</f>
        <v>Marketing</v>
      </c>
      <c r="D20" s="7" t="str">
        <f aca="false">IFERROR(INDEX(Lookup_Tables!$E$5:$E$8,MATCH(UPPER(TRIM('Raw_Data (Before)'!D20)),Lookup_Tables!$D$5:$D$8,0)),"UNMAPPED")</f>
        <v>Male</v>
      </c>
      <c r="E20" s="7" t="n">
        <f aca="false">'Raw_Data (Before)'!E20</f>
        <v>0</v>
      </c>
      <c r="F20" s="7" t="str">
        <f aca="false">IF(E20="","No",IF(OR(E20&lt;16,E20&gt;75),"No","Yes"))</f>
        <v>No</v>
      </c>
      <c r="G20" s="7" t="n">
        <f aca="false">IFERROR(VALUE(SUBSTITUTE(SUBSTITUTE('Raw_Data (Before)'!F20,"₦",""),",","")),"")</f>
        <v>431814</v>
      </c>
      <c r="H20" s="7" t="str">
        <f aca="false">IF(G20="","No",IF(OR(G20&lt;=0,G20&gt;5000000),"No","Yes"))</f>
        <v>Yes</v>
      </c>
      <c r="I20" s="8" t="n">
        <f aca="false">IFERROR(DATEVALUE('Raw_Data (Before)'!G20),"")</f>
        <v>44052</v>
      </c>
      <c r="J20" s="7" t="str">
        <f aca="false">IF(I20="","No","Yes")</f>
        <v>Yes</v>
      </c>
      <c r="K20" s="7" t="str">
        <f aca="false">IF(OR(ISERROR(FIND("@",'Raw_Data (Before)'!H20)),ISNUMBER(FIND("@@",'Raw_Data (Before)'!H20)),ISNUMBER(FIND(" ",'Raw_Data (Before)'!H20)),ISERROR(FIND(".",'Raw_Data (Before)'!H20,FIND("@",'Raw_Data (Before)'!H20)))),"No","Yes")</f>
        <v>Yes</v>
      </c>
      <c r="L20" s="7" t="str">
        <f aca="false">IFERROR(INDEX(Lookup_Tables!$H$5:$H$9,MATCH(UPPER(TRIM('Raw_Data (Before)'!I20)),Lookup_Tables!$G$5:$G$9,0)),"UNMAPPED")</f>
        <v>Inactive</v>
      </c>
      <c r="M20" s="7" t="str">
        <f aca="false">IF(COUNTIF('Raw_Data (Before)'!$A$5:$A$424,A20)&gt;1,"YES","No")</f>
        <v>No</v>
      </c>
      <c r="N20" s="7" t="str">
        <f aca="false">IF(OR(C20="UNMAPPED",D20="UNMAPPED",F20="No",H20="No",J20="No",K20="No",L20="UNMAPPED",M20="YES"),"NEEDS REVIEW","OK")</f>
        <v>NEEDS REVIEW</v>
      </c>
    </row>
    <row r="21" customFormat="false" ht="15" hidden="false" customHeight="false" outlineLevel="0" collapsed="false">
      <c r="A21" s="7" t="str">
        <f aca="false">'Raw_Data (Before)'!A21</f>
        <v>EMP0192</v>
      </c>
      <c r="B21" s="7" t="str">
        <f aca="false">PROPER(TRIM('Raw_Data (Before)'!B21))</f>
        <v>Aisha Chukwu</v>
      </c>
      <c r="C21" s="7" t="str">
        <f aca="false">IFERROR(INDEX(Lookup_Tables!$B$5:$B$24,MATCH(UPPER(TRIM('Raw_Data (Before)'!C21)),Lookup_Tables!$A$5:$A$24,0)),"UNMAPPED")</f>
        <v>IT</v>
      </c>
      <c r="D21" s="7" t="str">
        <f aca="false">IFERROR(INDEX(Lookup_Tables!$E$5:$E$8,MATCH(UPPER(TRIM('Raw_Data (Before)'!D21)),Lookup_Tables!$D$5:$D$8,0)),"UNMAPPED")</f>
        <v>Female</v>
      </c>
      <c r="E21" s="7" t="n">
        <f aca="false">'Raw_Data (Before)'!E21</f>
        <v>28</v>
      </c>
      <c r="F21" s="7" t="str">
        <f aca="false">IF(E21="","No",IF(OR(E21&lt;16,E21&gt;75),"No","Yes"))</f>
        <v>Yes</v>
      </c>
      <c r="G21" s="7" t="n">
        <f aca="false">IFERROR(VALUE(SUBSTITUTE(SUBSTITUTE('Raw_Data (Before)'!F21,"₦",""),",","")),"")</f>
        <v>312007</v>
      </c>
      <c r="H21" s="7" t="str">
        <f aca="false">IF(G21="","No",IF(OR(G21&lt;=0,G21&gt;5000000),"No","Yes"))</f>
        <v>Yes</v>
      </c>
      <c r="I21" s="8" t="n">
        <f aca="false">IFERROR(DATEVALUE('Raw_Data (Before)'!G21),"")</f>
        <v>44105</v>
      </c>
      <c r="J21" s="7" t="str">
        <f aca="false">IF(I21="","No","Yes")</f>
        <v>Yes</v>
      </c>
      <c r="K21" s="7" t="str">
        <f aca="false">IF(OR(ISERROR(FIND("@",'Raw_Data (Before)'!H21)),ISNUMBER(FIND("@@",'Raw_Data (Before)'!H21)),ISNUMBER(FIND(" ",'Raw_Data (Before)'!H21)),ISERROR(FIND(".",'Raw_Data (Before)'!H21,FIND("@",'Raw_Data (Before)'!H21)))),"No","Yes")</f>
        <v>Yes</v>
      </c>
      <c r="L21" s="7" t="str">
        <f aca="false">IFERROR(INDEX(Lookup_Tables!$H$5:$H$9,MATCH(UPPER(TRIM('Raw_Data (Before)'!I21)),Lookup_Tables!$G$5:$G$9,0)),"UNMAPPED")</f>
        <v>Active</v>
      </c>
      <c r="M21" s="7" t="str">
        <f aca="false">IF(COUNTIF('Raw_Data (Before)'!$A$5:$A$424,A21)&gt;1,"YES","No")</f>
        <v>No</v>
      </c>
      <c r="N21" s="7" t="str">
        <f aca="false">IF(OR(C21="UNMAPPED",D21="UNMAPPED",F21="No",H21="No",J21="No",K21="No",L21="UNMAPPED",M21="YES"),"NEEDS REVIEW","OK")</f>
        <v>OK</v>
      </c>
    </row>
    <row r="22" customFormat="false" ht="15" hidden="false" customHeight="false" outlineLevel="0" collapsed="false">
      <c r="A22" s="7" t="str">
        <f aca="false">'Raw_Data (Before)'!A22</f>
        <v>EMP0223</v>
      </c>
      <c r="B22" s="7" t="str">
        <f aca="false">PROPER(TRIM('Raw_Data (Before)'!B22))</f>
        <v>Esther Abubakar</v>
      </c>
      <c r="C22" s="7" t="str">
        <f aca="false">IFERROR(INDEX(Lookup_Tables!$B$5:$B$24,MATCH(UPPER(TRIM('Raw_Data (Before)'!C22)),Lookup_Tables!$A$5:$A$24,0)),"UNMAPPED")</f>
        <v>HR</v>
      </c>
      <c r="D22" s="7" t="str">
        <f aca="false">IFERROR(INDEX(Lookup_Tables!$E$5:$E$8,MATCH(UPPER(TRIM('Raw_Data (Before)'!D22)),Lookup_Tables!$D$5:$D$8,0)),"UNMAPPED")</f>
        <v>Male</v>
      </c>
      <c r="E22" s="7" t="n">
        <f aca="false">'Raw_Data (Before)'!E22</f>
        <v>36</v>
      </c>
      <c r="F22" s="7" t="str">
        <f aca="false">IF(E22="","No",IF(OR(E22&lt;16,E22&gt;75),"No","Yes"))</f>
        <v>Yes</v>
      </c>
      <c r="G22" s="7" t="n">
        <f aca="false">IFERROR(VALUE(SUBSTITUTE(SUBSTITUTE('Raw_Data (Before)'!F22,"₦",""),",","")),"")</f>
        <v>945657</v>
      </c>
      <c r="H22" s="7" t="str">
        <f aca="false">IF(G22="","No",IF(OR(G22&lt;=0,G22&gt;5000000),"No","Yes"))</f>
        <v>Yes</v>
      </c>
      <c r="I22" s="8" t="n">
        <f aca="false">IFERROR(DATEVALUE('Raw_Data (Before)'!G22),"")</f>
        <v>45603</v>
      </c>
      <c r="J22" s="7" t="str">
        <f aca="false">IF(I22="","No","Yes")</f>
        <v>Yes</v>
      </c>
      <c r="K22" s="7" t="str">
        <f aca="false">IF(OR(ISERROR(FIND("@",'Raw_Data (Before)'!H22)),ISNUMBER(FIND("@@",'Raw_Data (Before)'!H22)),ISNUMBER(FIND(" ",'Raw_Data (Before)'!H22)),ISERROR(FIND(".",'Raw_Data (Before)'!H22,FIND("@",'Raw_Data (Before)'!H22)))),"No","Yes")</f>
        <v>Yes</v>
      </c>
      <c r="L22" s="7" t="str">
        <f aca="false">IFERROR(INDEX(Lookup_Tables!$H$5:$H$9,MATCH(UPPER(TRIM('Raw_Data (Before)'!I22)),Lookup_Tables!$G$5:$G$9,0)),"UNMAPPED")</f>
        <v>Active</v>
      </c>
      <c r="M22" s="7" t="str">
        <f aca="false">IF(COUNTIF('Raw_Data (Before)'!$A$5:$A$424,A22)&gt;1,"YES","No")</f>
        <v>No</v>
      </c>
      <c r="N22" s="7" t="str">
        <f aca="false">IF(OR(C22="UNMAPPED",D22="UNMAPPED",F22="No",H22="No",J22="No",K22="No",L22="UNMAPPED",M22="YES"),"NEEDS REVIEW","OK")</f>
        <v>OK</v>
      </c>
    </row>
    <row r="23" customFormat="false" ht="15" hidden="false" customHeight="false" outlineLevel="0" collapsed="false">
      <c r="A23" s="7" t="str">
        <f aca="false">'Raw_Data (Before)'!A23</f>
        <v>EMP0337</v>
      </c>
      <c r="B23" s="7" t="str">
        <f aca="false">PROPER(TRIM('Raw_Data (Before)'!B23))</f>
        <v>Mary Obi</v>
      </c>
      <c r="C23" s="7" t="str">
        <f aca="false">IFERROR(INDEX(Lookup_Tables!$B$5:$B$24,MATCH(UPPER(TRIM('Raw_Data (Before)'!C23)),Lookup_Tables!$A$5:$A$24,0)),"UNMAPPED")</f>
        <v>Customer Service</v>
      </c>
      <c r="D23" s="7" t="str">
        <f aca="false">IFERROR(INDEX(Lookup_Tables!$E$5:$E$8,MATCH(UPPER(TRIM('Raw_Data (Before)'!D23)),Lookup_Tables!$D$5:$D$8,0)),"UNMAPPED")</f>
        <v>Male</v>
      </c>
      <c r="E23" s="7" t="n">
        <f aca="false">'Raw_Data (Before)'!E23</f>
        <v>51</v>
      </c>
      <c r="F23" s="7" t="str">
        <f aca="false">IF(E23="","No",IF(OR(E23&lt;16,E23&gt;75),"No","Yes"))</f>
        <v>Yes</v>
      </c>
      <c r="G23" s="7" t="n">
        <f aca="false">IFERROR(VALUE(SUBSTITUTE(SUBSTITUTE('Raw_Data (Before)'!F23,"₦",""),",","")),"")</f>
        <v>900939</v>
      </c>
      <c r="H23" s="7" t="str">
        <f aca="false">IF(G23="","No",IF(OR(G23&lt;=0,G23&gt;5000000),"No","Yes"))</f>
        <v>Yes</v>
      </c>
      <c r="I23" s="8" t="n">
        <f aca="false">IFERROR(DATEVALUE('Raw_Data (Before)'!G23),"")</f>
        <v>45344</v>
      </c>
      <c r="J23" s="7" t="str">
        <f aca="false">IF(I23="","No","Yes")</f>
        <v>Yes</v>
      </c>
      <c r="K23" s="7" t="str">
        <f aca="false">IF(OR(ISERROR(FIND("@",'Raw_Data (Before)'!H23)),ISNUMBER(FIND("@@",'Raw_Data (Before)'!H23)),ISNUMBER(FIND(" ",'Raw_Data (Before)'!H23)),ISERROR(FIND(".",'Raw_Data (Before)'!H23,FIND("@",'Raw_Data (Before)'!H23)))),"No","Yes")</f>
        <v>Yes</v>
      </c>
      <c r="L23" s="7" t="str">
        <f aca="false">IFERROR(INDEX(Lookup_Tables!$H$5:$H$9,MATCH(UPPER(TRIM('Raw_Data (Before)'!I23)),Lookup_Tables!$G$5:$G$9,0)),"UNMAPPED")</f>
        <v>Active</v>
      </c>
      <c r="M23" s="7" t="str">
        <f aca="false">IF(COUNTIF('Raw_Data (Before)'!$A$5:$A$424,A23)&gt;1,"YES","No")</f>
        <v>No</v>
      </c>
      <c r="N23" s="7" t="str">
        <f aca="false">IF(OR(C23="UNMAPPED",D23="UNMAPPED",F23="No",H23="No",J23="No",K23="No",L23="UNMAPPED",M23="YES"),"NEEDS REVIEW","OK")</f>
        <v>OK</v>
      </c>
    </row>
    <row r="24" customFormat="false" ht="15" hidden="false" customHeight="false" outlineLevel="0" collapsed="false">
      <c r="A24" s="7" t="str">
        <f aca="false">'Raw_Data (Before)'!A24</f>
        <v>EMP0343</v>
      </c>
      <c r="B24" s="7" t="str">
        <f aca="false">PROPER(TRIM('Raw_Data (Before)'!B24))</f>
        <v>Esther Adamu</v>
      </c>
      <c r="C24" s="7" t="str">
        <f aca="false">IFERROR(INDEX(Lookup_Tables!$B$5:$B$24,MATCH(UPPER(TRIM('Raw_Data (Before)'!C24)),Lookup_Tables!$A$5:$A$24,0)),"UNMAPPED")</f>
        <v>Customer Service</v>
      </c>
      <c r="D24" s="7" t="str">
        <f aca="false">IFERROR(INDEX(Lookup_Tables!$E$5:$E$8,MATCH(UPPER(TRIM('Raw_Data (Before)'!D24)),Lookup_Tables!$D$5:$D$8,0)),"UNMAPPED")</f>
        <v>Male</v>
      </c>
      <c r="E24" s="7" t="n">
        <f aca="false">'Raw_Data (Before)'!E24</f>
        <v>24</v>
      </c>
      <c r="F24" s="7" t="str">
        <f aca="false">IF(E24="","No",IF(OR(E24&lt;16,E24&gt;75),"No","Yes"))</f>
        <v>Yes</v>
      </c>
      <c r="G24" s="7" t="n">
        <f aca="false">IFERROR(VALUE(SUBSTITUTE(SUBSTITUTE('Raw_Data (Before)'!F24,"₦",""),",","")),"")</f>
        <v>297468</v>
      </c>
      <c r="H24" s="7" t="str">
        <f aca="false">IF(G24="","No",IF(OR(G24&lt;=0,G24&gt;5000000),"No","Yes"))</f>
        <v>Yes</v>
      </c>
      <c r="I24" s="8" t="n">
        <f aca="false">IFERROR(DATEVALUE('Raw_Data (Before)'!G24),"")</f>
        <v>43563</v>
      </c>
      <c r="J24" s="7" t="str">
        <f aca="false">IF(I24="","No","Yes")</f>
        <v>Yes</v>
      </c>
      <c r="K24" s="7" t="str">
        <f aca="false">IF(OR(ISERROR(FIND("@",'Raw_Data (Before)'!H24)),ISNUMBER(FIND("@@",'Raw_Data (Before)'!H24)),ISNUMBER(FIND(" ",'Raw_Data (Before)'!H24)),ISERROR(FIND(".",'Raw_Data (Before)'!H24,FIND("@",'Raw_Data (Before)'!H24)))),"No","Yes")</f>
        <v>Yes</v>
      </c>
      <c r="L24" s="7" t="str">
        <f aca="false">IFERROR(INDEX(Lookup_Tables!$H$5:$H$9,MATCH(UPPER(TRIM('Raw_Data (Before)'!I24)),Lookup_Tables!$G$5:$G$9,0)),"UNMAPPED")</f>
        <v>Inactive</v>
      </c>
      <c r="M24" s="7" t="str">
        <f aca="false">IF(COUNTIF('Raw_Data (Before)'!$A$5:$A$424,A24)&gt;1,"YES","No")</f>
        <v>No</v>
      </c>
      <c r="N24" s="7" t="str">
        <f aca="false">IF(OR(C24="UNMAPPED",D24="UNMAPPED",F24="No",H24="No",J24="No",K24="No",L24="UNMAPPED",M24="YES"),"NEEDS REVIEW","OK")</f>
        <v>OK</v>
      </c>
    </row>
    <row r="25" customFormat="false" ht="15" hidden="false" customHeight="false" outlineLevel="0" collapsed="false">
      <c r="A25" s="7" t="str">
        <f aca="false">'Raw_Data (Before)'!A25</f>
        <v>EMP0277</v>
      </c>
      <c r="B25" s="7" t="str">
        <f aca="false">PROPER(TRIM('Raw_Data (Before)'!B25))</f>
        <v>Yusuf Yakubu</v>
      </c>
      <c r="C25" s="7" t="str">
        <f aca="false">IFERROR(INDEX(Lookup_Tables!$B$5:$B$24,MATCH(UPPER(TRIM('Raw_Data (Before)'!C25)),Lookup_Tables!$A$5:$A$24,0)),"UNMAPPED")</f>
        <v>IT</v>
      </c>
      <c r="D25" s="7" t="str">
        <f aca="false">IFERROR(INDEX(Lookup_Tables!$E$5:$E$8,MATCH(UPPER(TRIM('Raw_Data (Before)'!D25)),Lookup_Tables!$D$5:$D$8,0)),"UNMAPPED")</f>
        <v>Female</v>
      </c>
      <c r="E25" s="7" t="n">
        <f aca="false">'Raw_Data (Before)'!E25</f>
        <v>33</v>
      </c>
      <c r="F25" s="7" t="str">
        <f aca="false">IF(E25="","No",IF(OR(E25&lt;16,E25&gt;75),"No","Yes"))</f>
        <v>Yes</v>
      </c>
      <c r="G25" s="7" t="n">
        <f aca="false">IFERROR(VALUE(SUBSTITUTE(SUBSTITUTE('Raw_Data (Before)'!F25,"₦",""),",","")),"")</f>
        <v>197316</v>
      </c>
      <c r="H25" s="7" t="str">
        <f aca="false">IF(G25="","No",IF(OR(G25&lt;=0,G25&gt;5000000),"No","Yes"))</f>
        <v>Yes</v>
      </c>
      <c r="I25" s="8" t="n">
        <f aca="false">IFERROR(DATEVALUE('Raw_Data (Before)'!G25),"")</f>
        <v>45079</v>
      </c>
      <c r="J25" s="7" t="str">
        <f aca="false">IF(I25="","No","Yes")</f>
        <v>Yes</v>
      </c>
      <c r="K25" s="7" t="str">
        <f aca="false">IF(OR(ISERROR(FIND("@",'Raw_Data (Before)'!H25)),ISNUMBER(FIND("@@",'Raw_Data (Before)'!H25)),ISNUMBER(FIND(" ",'Raw_Data (Before)'!H25)),ISERROR(FIND(".",'Raw_Data (Before)'!H25,FIND("@",'Raw_Data (Before)'!H25)))),"No","Yes")</f>
        <v>Yes</v>
      </c>
      <c r="L25" s="7" t="str">
        <f aca="false">IFERROR(INDEX(Lookup_Tables!$H$5:$H$9,MATCH(UPPER(TRIM('Raw_Data (Before)'!I25)),Lookup_Tables!$G$5:$G$9,0)),"UNMAPPED")</f>
        <v>Inactive</v>
      </c>
      <c r="M25" s="7" t="str">
        <f aca="false">IF(COUNTIF('Raw_Data (Before)'!$A$5:$A$424,A25)&gt;1,"YES","No")</f>
        <v>No</v>
      </c>
      <c r="N25" s="7" t="str">
        <f aca="false">IF(OR(C25="UNMAPPED",D25="UNMAPPED",F25="No",H25="No",J25="No",K25="No",L25="UNMAPPED",M25="YES"),"NEEDS REVIEW","OK")</f>
        <v>OK</v>
      </c>
    </row>
    <row r="26" customFormat="false" ht="15" hidden="false" customHeight="false" outlineLevel="0" collapsed="false">
      <c r="A26" s="7" t="str">
        <f aca="false">'Raw_Data (Before)'!A26</f>
        <v>EMP0310</v>
      </c>
      <c r="B26" s="7" t="str">
        <f aca="false">PROPER(TRIM('Raw_Data (Before)'!B26))</f>
        <v>Musa Yakubu</v>
      </c>
      <c r="C26" s="7" t="str">
        <f aca="false">IFERROR(INDEX(Lookup_Tables!$B$5:$B$24,MATCH(UPPER(TRIM('Raw_Data (Before)'!C26)),Lookup_Tables!$A$5:$A$24,0)),"UNMAPPED")</f>
        <v>Finance</v>
      </c>
      <c r="D26" s="7" t="str">
        <f aca="false">IFERROR(INDEX(Lookup_Tables!$E$5:$E$8,MATCH(UPPER(TRIM('Raw_Data (Before)'!D26)),Lookup_Tables!$D$5:$D$8,0)),"UNMAPPED")</f>
        <v>Female</v>
      </c>
      <c r="E26" s="7" t="n">
        <f aca="false">'Raw_Data (Before)'!E26</f>
        <v>47</v>
      </c>
      <c r="F26" s="7" t="str">
        <f aca="false">IF(E26="","No",IF(OR(E26&lt;16,E26&gt;75),"No","Yes"))</f>
        <v>Yes</v>
      </c>
      <c r="G26" s="7" t="n">
        <f aca="false">IFERROR(VALUE(SUBSTITUTE(SUBSTITUTE('Raw_Data (Before)'!F26,"₦",""),",","")),"")</f>
        <v>781149</v>
      </c>
      <c r="H26" s="7" t="str">
        <f aca="false">IF(G26="","No",IF(OR(G26&lt;=0,G26&gt;5000000),"No","Yes"))</f>
        <v>Yes</v>
      </c>
      <c r="I26" s="8" t="n">
        <f aca="false">IFERROR(DATEVALUE('Raw_Data (Before)'!G26),"")</f>
        <v>43231</v>
      </c>
      <c r="J26" s="7" t="str">
        <f aca="false">IF(I26="","No","Yes")</f>
        <v>Yes</v>
      </c>
      <c r="K26" s="7" t="str">
        <f aca="false">IF(OR(ISERROR(FIND("@",'Raw_Data (Before)'!H26)),ISNUMBER(FIND("@@",'Raw_Data (Before)'!H26)),ISNUMBER(FIND(" ",'Raw_Data (Before)'!H26)),ISERROR(FIND(".",'Raw_Data (Before)'!H26,FIND("@",'Raw_Data (Before)'!H26)))),"No","Yes")</f>
        <v>Yes</v>
      </c>
      <c r="L26" s="7" t="str">
        <f aca="false">IFERROR(INDEX(Lookup_Tables!$H$5:$H$9,MATCH(UPPER(TRIM('Raw_Data (Before)'!I26)),Lookup_Tables!$G$5:$G$9,0)),"UNMAPPED")</f>
        <v>Active</v>
      </c>
      <c r="M26" s="7" t="str">
        <f aca="false">IF(COUNTIF('Raw_Data (Before)'!$A$5:$A$424,A26)&gt;1,"YES","No")</f>
        <v>No</v>
      </c>
      <c r="N26" s="7" t="str">
        <f aca="false">IF(OR(C26="UNMAPPED",D26="UNMAPPED",F26="No",H26="No",J26="No",K26="No",L26="UNMAPPED",M26="YES"),"NEEDS REVIEW","OK")</f>
        <v>OK</v>
      </c>
    </row>
    <row r="27" customFormat="false" ht="15" hidden="false" customHeight="false" outlineLevel="0" collapsed="false">
      <c r="A27" s="7" t="str">
        <f aca="false">'Raw_Data (Before)'!A27</f>
        <v>EMP0250</v>
      </c>
      <c r="B27" s="7" t="str">
        <f aca="false">PROPER(TRIM('Raw_Data (Before)'!B27))</f>
        <v>Blessing Ajayi</v>
      </c>
      <c r="C27" s="7" t="str">
        <f aca="false">IFERROR(INDEX(Lookup_Tables!$B$5:$B$24,MATCH(UPPER(TRIM('Raw_Data (Before)'!C27)),Lookup_Tables!$A$5:$A$24,0)),"UNMAPPED")</f>
        <v>Sales</v>
      </c>
      <c r="D27" s="7" t="str">
        <f aca="false">IFERROR(INDEX(Lookup_Tables!$E$5:$E$8,MATCH(UPPER(TRIM('Raw_Data (Before)'!D27)),Lookup_Tables!$D$5:$D$8,0)),"UNMAPPED")</f>
        <v>Male</v>
      </c>
      <c r="E27" s="7" t="n">
        <f aca="false">'Raw_Data (Before)'!E27</f>
        <v>39</v>
      </c>
      <c r="F27" s="7" t="str">
        <f aca="false">IF(E27="","No",IF(OR(E27&lt;16,E27&gt;75),"No","Yes"))</f>
        <v>Yes</v>
      </c>
      <c r="G27" s="7" t="n">
        <f aca="false">IFERROR(VALUE(SUBSTITUTE(SUBSTITUTE('Raw_Data (Before)'!F27,"₦",""),",","")),"")</f>
        <v>677491</v>
      </c>
      <c r="H27" s="7" t="str">
        <f aca="false">IF(G27="","No",IF(OR(G27&lt;=0,G27&gt;5000000),"No","Yes"))</f>
        <v>Yes</v>
      </c>
      <c r="I27" s="8" t="n">
        <f aca="false">IFERROR(DATEVALUE('Raw_Data (Before)'!G27),"")</f>
        <v>44711</v>
      </c>
      <c r="J27" s="7" t="str">
        <f aca="false">IF(I27="","No","Yes")</f>
        <v>Yes</v>
      </c>
      <c r="K27" s="7" t="str">
        <f aca="false">IF(OR(ISERROR(FIND("@",'Raw_Data (Before)'!H27)),ISNUMBER(FIND("@@",'Raw_Data (Before)'!H27)),ISNUMBER(FIND(" ",'Raw_Data (Before)'!H27)),ISERROR(FIND(".",'Raw_Data (Before)'!H27,FIND("@",'Raw_Data (Before)'!H27)))),"No","Yes")</f>
        <v>Yes</v>
      </c>
      <c r="L27" s="7" t="str">
        <f aca="false">IFERROR(INDEX(Lookup_Tables!$H$5:$H$9,MATCH(UPPER(TRIM('Raw_Data (Before)'!I27)),Lookup_Tables!$G$5:$G$9,0)),"UNMAPPED")</f>
        <v>Inactive</v>
      </c>
      <c r="M27" s="7" t="str">
        <f aca="false">IF(COUNTIF('Raw_Data (Before)'!$A$5:$A$424,A27)&gt;1,"YES","No")</f>
        <v>No</v>
      </c>
      <c r="N27" s="7" t="str">
        <f aca="false">IF(OR(C27="UNMAPPED",D27="UNMAPPED",F27="No",H27="No",J27="No",K27="No",L27="UNMAPPED",M27="YES"),"NEEDS REVIEW","OK")</f>
        <v>OK</v>
      </c>
    </row>
    <row r="28" customFormat="false" ht="15" hidden="false" customHeight="false" outlineLevel="0" collapsed="false">
      <c r="A28" s="7" t="str">
        <f aca="false">'Raw_Data (Before)'!A28</f>
        <v>EMP0228</v>
      </c>
      <c r="B28" s="7" t="str">
        <f aca="false">PROPER(TRIM('Raw_Data (Before)'!B28))</f>
        <v>Chinedu Sani</v>
      </c>
      <c r="C28" s="7" t="str">
        <f aca="false">IFERROR(INDEX(Lookup_Tables!$B$5:$B$24,MATCH(UPPER(TRIM('Raw_Data (Before)'!C28)),Lookup_Tables!$A$5:$A$24,0)),"UNMAPPED")</f>
        <v>HR</v>
      </c>
      <c r="D28" s="7" t="str">
        <f aca="false">IFERROR(INDEX(Lookup_Tables!$E$5:$E$8,MATCH(UPPER(TRIM('Raw_Data (Before)'!D28)),Lookup_Tables!$D$5:$D$8,0)),"UNMAPPED")</f>
        <v>Female</v>
      </c>
      <c r="E28" s="7" t="n">
        <f aca="false">'Raw_Data (Before)'!E28</f>
        <v>29</v>
      </c>
      <c r="F28" s="7" t="str">
        <f aca="false">IF(E28="","No",IF(OR(E28&lt;16,E28&gt;75),"No","Yes"))</f>
        <v>Yes</v>
      </c>
      <c r="G28" s="7" t="n">
        <f aca="false">IFERROR(VALUE(SUBSTITUTE(SUBSTITUTE('Raw_Data (Before)'!F28,"₦",""),",","")),"")</f>
        <v>464749</v>
      </c>
      <c r="H28" s="7" t="str">
        <f aca="false">IF(G28="","No",IF(OR(G28&lt;=0,G28&gt;5000000),"No","Yes"))</f>
        <v>Yes</v>
      </c>
      <c r="I28" s="8" t="n">
        <f aca="false">IFERROR(DATEVALUE('Raw_Data (Before)'!G28),"")</f>
        <v>43815</v>
      </c>
      <c r="J28" s="7" t="str">
        <f aca="false">IF(I28="","No","Yes")</f>
        <v>Yes</v>
      </c>
      <c r="K28" s="7" t="str">
        <f aca="false">IF(OR(ISERROR(FIND("@",'Raw_Data (Before)'!H28)),ISNUMBER(FIND("@@",'Raw_Data (Before)'!H28)),ISNUMBER(FIND(" ",'Raw_Data (Before)'!H28)),ISERROR(FIND(".",'Raw_Data (Before)'!H28,FIND("@",'Raw_Data (Before)'!H28)))),"No","Yes")</f>
        <v>Yes</v>
      </c>
      <c r="L28" s="7" t="str">
        <f aca="false">IFERROR(INDEX(Lookup_Tables!$H$5:$H$9,MATCH(UPPER(TRIM('Raw_Data (Before)'!I28)),Lookup_Tables!$G$5:$G$9,0)),"UNMAPPED")</f>
        <v>Active</v>
      </c>
      <c r="M28" s="7" t="str">
        <f aca="false">IF(COUNTIF('Raw_Data (Before)'!$A$5:$A$424,A28)&gt;1,"YES","No")</f>
        <v>No</v>
      </c>
      <c r="N28" s="7" t="str">
        <f aca="false">IF(OR(C28="UNMAPPED",D28="UNMAPPED",F28="No",H28="No",J28="No",K28="No",L28="UNMAPPED",M28="YES"),"NEEDS REVIEW","OK")</f>
        <v>OK</v>
      </c>
    </row>
    <row r="29" customFormat="false" ht="15" hidden="false" customHeight="false" outlineLevel="0" collapsed="false">
      <c r="A29" s="7" t="str">
        <f aca="false">'Raw_Data (Before)'!A29</f>
        <v>EMP0246</v>
      </c>
      <c r="B29" s="7" t="str">
        <f aca="false">PROPER(TRIM('Raw_Data (Before)'!B29))</f>
        <v>James Obi</v>
      </c>
      <c r="C29" s="7" t="str">
        <f aca="false">IFERROR(INDEX(Lookup_Tables!$B$5:$B$24,MATCH(UPPER(TRIM('Raw_Data (Before)'!C29)),Lookup_Tables!$A$5:$A$24,0)),"UNMAPPED")</f>
        <v>Sales</v>
      </c>
      <c r="D29" s="7" t="str">
        <f aca="false">IFERROR(INDEX(Lookup_Tables!$E$5:$E$8,MATCH(UPPER(TRIM('Raw_Data (Before)'!D29)),Lookup_Tables!$D$5:$D$8,0)),"UNMAPPED")</f>
        <v>Male</v>
      </c>
      <c r="E29" s="7" t="n">
        <f aca="false">'Raw_Data (Before)'!E29</f>
        <v>23</v>
      </c>
      <c r="F29" s="7" t="str">
        <f aca="false">IF(E29="","No",IF(OR(E29&lt;16,E29&gt;75),"No","Yes"))</f>
        <v>Yes</v>
      </c>
      <c r="G29" s="7" t="n">
        <f aca="false">IFERROR(VALUE(SUBSTITUTE(SUBSTITUTE('Raw_Data (Before)'!F29,"₦",""),",","")),"")</f>
        <v>115365</v>
      </c>
      <c r="H29" s="7" t="str">
        <f aca="false">IF(G29="","No",IF(OR(G29&lt;=0,G29&gt;5000000),"No","Yes"))</f>
        <v>Yes</v>
      </c>
      <c r="I29" s="8" t="n">
        <f aca="false">IFERROR(DATEVALUE('Raw_Data (Before)'!G29),"")</f>
        <v>43761</v>
      </c>
      <c r="J29" s="7" t="str">
        <f aca="false">IF(I29="","No","Yes")</f>
        <v>Yes</v>
      </c>
      <c r="K29" s="7" t="str">
        <f aca="false">IF(OR(ISERROR(FIND("@",'Raw_Data (Before)'!H29)),ISNUMBER(FIND("@@",'Raw_Data (Before)'!H29)),ISNUMBER(FIND(" ",'Raw_Data (Before)'!H29)),ISERROR(FIND(".",'Raw_Data (Before)'!H29,FIND("@",'Raw_Data (Before)'!H29)))),"No","Yes")</f>
        <v>Yes</v>
      </c>
      <c r="L29" s="7" t="str">
        <f aca="false">IFERROR(INDEX(Lookup_Tables!$H$5:$H$9,MATCH(UPPER(TRIM('Raw_Data (Before)'!I29)),Lookup_Tables!$G$5:$G$9,0)),"UNMAPPED")</f>
        <v>Active</v>
      </c>
      <c r="M29" s="7" t="str">
        <f aca="false">IF(COUNTIF('Raw_Data (Before)'!$A$5:$A$424,A29)&gt;1,"YES","No")</f>
        <v>No</v>
      </c>
      <c r="N29" s="7" t="str">
        <f aca="false">IF(OR(C29="UNMAPPED",D29="UNMAPPED",F29="No",H29="No",J29="No",K29="No",L29="UNMAPPED",M29="YES"),"NEEDS REVIEW","OK")</f>
        <v>OK</v>
      </c>
    </row>
    <row r="30" customFormat="false" ht="15" hidden="false" customHeight="false" outlineLevel="0" collapsed="false">
      <c r="A30" s="7" t="str">
        <f aca="false">'Raw_Data (Before)'!A30</f>
        <v>EMP0352</v>
      </c>
      <c r="B30" s="7" t="str">
        <f aca="false">PROPER(TRIM('Raw_Data (Before)'!B30))</f>
        <v>Victor Obi</v>
      </c>
      <c r="C30" s="7" t="str">
        <f aca="false">IFERROR(INDEX(Lookup_Tables!$B$5:$B$24,MATCH(UPPER(TRIM('Raw_Data (Before)'!C30)),Lookup_Tables!$A$5:$A$24,0)),"UNMAPPED")</f>
        <v>Operations</v>
      </c>
      <c r="D30" s="7" t="str">
        <f aca="false">IFERROR(INDEX(Lookup_Tables!$E$5:$E$8,MATCH(UPPER(TRIM('Raw_Data (Before)'!D30)),Lookup_Tables!$D$5:$D$8,0)),"UNMAPPED")</f>
        <v>Male</v>
      </c>
      <c r="E30" s="7" t="n">
        <f aca="false">'Raw_Data (Before)'!E30</f>
        <v>54</v>
      </c>
      <c r="F30" s="7" t="str">
        <f aca="false">IF(E30="","No",IF(OR(E30&lt;16,E30&gt;75),"No","Yes"))</f>
        <v>Yes</v>
      </c>
      <c r="G30" s="7" t="n">
        <f aca="false">IFERROR(VALUE(SUBSTITUTE(SUBSTITUTE('Raw_Data (Before)'!F30,"₦",""),",","")),"")</f>
        <v>100793</v>
      </c>
      <c r="H30" s="7" t="str">
        <f aca="false">IF(G30="","No",IF(OR(G30&lt;=0,G30&gt;5000000),"No","Yes"))</f>
        <v>Yes</v>
      </c>
      <c r="I30" s="8" t="n">
        <f aca="false">IFERROR(DATEVALUE('Raw_Data (Before)'!G30),"")</f>
        <v>44906</v>
      </c>
      <c r="J30" s="7" t="str">
        <f aca="false">IF(I30="","No","Yes")</f>
        <v>Yes</v>
      </c>
      <c r="K30" s="7" t="str">
        <f aca="false">IF(OR(ISERROR(FIND("@",'Raw_Data (Before)'!H30)),ISNUMBER(FIND("@@",'Raw_Data (Before)'!H30)),ISNUMBER(FIND(" ",'Raw_Data (Before)'!H30)),ISERROR(FIND(".",'Raw_Data (Before)'!H30,FIND("@",'Raw_Data (Before)'!H30)))),"No","Yes")</f>
        <v>Yes</v>
      </c>
      <c r="L30" s="7" t="str">
        <f aca="false">IFERROR(INDEX(Lookup_Tables!$H$5:$H$9,MATCH(UPPER(TRIM('Raw_Data (Before)'!I30)),Lookup_Tables!$G$5:$G$9,0)),"UNMAPPED")</f>
        <v>Active</v>
      </c>
      <c r="M30" s="7" t="str">
        <f aca="false">IF(COUNTIF('Raw_Data (Before)'!$A$5:$A$424,A30)&gt;1,"YES","No")</f>
        <v>No</v>
      </c>
      <c r="N30" s="7" t="str">
        <f aca="false">IF(OR(C30="UNMAPPED",D30="UNMAPPED",F30="No",H30="No",J30="No",K30="No",L30="UNMAPPED",M30="YES"),"NEEDS REVIEW","OK")</f>
        <v>OK</v>
      </c>
    </row>
    <row r="31" customFormat="false" ht="15" hidden="false" customHeight="false" outlineLevel="0" collapsed="false">
      <c r="A31" s="7" t="str">
        <f aca="false">'Raw_Data (Before)'!A31</f>
        <v>EMP0109</v>
      </c>
      <c r="B31" s="7" t="str">
        <f aca="false">PROPER(TRIM('Raw_Data (Before)'!B31))</f>
        <v>Ahmed Sani</v>
      </c>
      <c r="C31" s="7" t="str">
        <f aca="false">IFERROR(INDEX(Lookup_Tables!$B$5:$B$24,MATCH(UPPER(TRIM('Raw_Data (Before)'!C31)),Lookup_Tables!$A$5:$A$24,0)),"UNMAPPED")</f>
        <v>IT</v>
      </c>
      <c r="D31" s="7" t="str">
        <f aca="false">IFERROR(INDEX(Lookup_Tables!$E$5:$E$8,MATCH(UPPER(TRIM('Raw_Data (Before)'!D31)),Lookup_Tables!$D$5:$D$8,0)),"UNMAPPED")</f>
        <v>Male</v>
      </c>
      <c r="E31" s="7" t="n">
        <f aca="false">'Raw_Data (Before)'!E31</f>
        <v>46</v>
      </c>
      <c r="F31" s="7" t="str">
        <f aca="false">IF(E31="","No",IF(OR(E31&lt;16,E31&gt;75),"No","Yes"))</f>
        <v>Yes</v>
      </c>
      <c r="G31" s="7" t="n">
        <f aca="false">IFERROR(VALUE(SUBSTITUTE(SUBSTITUTE('Raw_Data (Before)'!F31,"₦",""),",","")),"")</f>
        <v>910130</v>
      </c>
      <c r="H31" s="7" t="str">
        <f aca="false">IF(G31="","No",IF(OR(G31&lt;=0,G31&gt;5000000),"No","Yes"))</f>
        <v>Yes</v>
      </c>
      <c r="I31" s="8" t="str">
        <f aca="false">IFERROR(DATEVALUE('Raw_Data (Before)'!G31),"")</f>
        <v/>
      </c>
      <c r="J31" s="7" t="str">
        <f aca="false">IF(I31="","No","Yes")</f>
        <v>No</v>
      </c>
      <c r="K31" s="7" t="str">
        <f aca="false">IF(OR(ISERROR(FIND("@",'Raw_Data (Before)'!H31)),ISNUMBER(FIND("@@",'Raw_Data (Before)'!H31)),ISNUMBER(FIND(" ",'Raw_Data (Before)'!H31)),ISERROR(FIND(".",'Raw_Data (Before)'!H31,FIND("@",'Raw_Data (Before)'!H31)))),"No","Yes")</f>
        <v>Yes</v>
      </c>
      <c r="L31" s="7" t="str">
        <f aca="false">IFERROR(INDEX(Lookup_Tables!$H$5:$H$9,MATCH(UPPER(TRIM('Raw_Data (Before)'!I31)),Lookup_Tables!$G$5:$G$9,0)),"UNMAPPED")</f>
        <v>Active</v>
      </c>
      <c r="M31" s="7" t="str">
        <f aca="false">IF(COUNTIF('Raw_Data (Before)'!$A$5:$A$424,A31)&gt;1,"YES","No")</f>
        <v>No</v>
      </c>
      <c r="N31" s="7" t="str">
        <f aca="false">IF(OR(C31="UNMAPPED",D31="UNMAPPED",F31="No",H31="No",J31="No",K31="No",L31="UNMAPPED",M31="YES"),"NEEDS REVIEW","OK")</f>
        <v>NEEDS REVIEW</v>
      </c>
    </row>
    <row r="32" customFormat="false" ht="15" hidden="false" customHeight="false" outlineLevel="0" collapsed="false">
      <c r="A32" s="7" t="str">
        <f aca="false">'Raw_Data (Before)'!A32</f>
        <v>EMP0396</v>
      </c>
      <c r="B32" s="7" t="str">
        <f aca="false">PROPER(TRIM('Raw_Data (Before)'!B32))</f>
        <v>David Eze</v>
      </c>
      <c r="C32" s="7" t="str">
        <f aca="false">IFERROR(INDEX(Lookup_Tables!$B$5:$B$24,MATCH(UPPER(TRIM('Raw_Data (Before)'!C32)),Lookup_Tables!$A$5:$A$24,0)),"UNMAPPED")</f>
        <v>Sales</v>
      </c>
      <c r="D32" s="7" t="str">
        <f aca="false">IFERROR(INDEX(Lookup_Tables!$E$5:$E$8,MATCH(UPPER(TRIM('Raw_Data (Before)'!D32)),Lookup_Tables!$D$5:$D$8,0)),"UNMAPPED")</f>
        <v>Male</v>
      </c>
      <c r="E32" s="7" t="n">
        <f aca="false">'Raw_Data (Before)'!E32</f>
        <v>54</v>
      </c>
      <c r="F32" s="7" t="str">
        <f aca="false">IF(E32="","No",IF(OR(E32&lt;16,E32&gt;75),"No","Yes"))</f>
        <v>Yes</v>
      </c>
      <c r="G32" s="7" t="n">
        <f aca="false">IFERROR(VALUE(SUBSTITUTE(SUBSTITUTE('Raw_Data (Before)'!F32,"₦",""),",","")),"")</f>
        <v>755699</v>
      </c>
      <c r="H32" s="7" t="str">
        <f aca="false">IF(G32="","No",IF(OR(G32&lt;=0,G32&gt;5000000),"No","Yes"))</f>
        <v>Yes</v>
      </c>
      <c r="I32" s="8" t="n">
        <f aca="false">IFERROR(DATEVALUE('Raw_Data (Before)'!G32),"")</f>
        <v>43804</v>
      </c>
      <c r="J32" s="7" t="str">
        <f aca="false">IF(I32="","No","Yes")</f>
        <v>Yes</v>
      </c>
      <c r="K32" s="7" t="str">
        <f aca="false">IF(OR(ISERROR(FIND("@",'Raw_Data (Before)'!H32)),ISNUMBER(FIND("@@",'Raw_Data (Before)'!H32)),ISNUMBER(FIND(" ",'Raw_Data (Before)'!H32)),ISERROR(FIND(".",'Raw_Data (Before)'!H32,FIND("@",'Raw_Data (Before)'!H32)))),"No","Yes")</f>
        <v>Yes</v>
      </c>
      <c r="L32" s="7" t="str">
        <f aca="false">IFERROR(INDEX(Lookup_Tables!$H$5:$H$9,MATCH(UPPER(TRIM('Raw_Data (Before)'!I32)),Lookup_Tables!$G$5:$G$9,0)),"UNMAPPED")</f>
        <v>Active</v>
      </c>
      <c r="M32" s="7" t="str">
        <f aca="false">IF(COUNTIF('Raw_Data (Before)'!$A$5:$A$424,A32)&gt;1,"YES","No")</f>
        <v>No</v>
      </c>
      <c r="N32" s="7" t="str">
        <f aca="false">IF(OR(C32="UNMAPPED",D32="UNMAPPED",F32="No",H32="No",J32="No",K32="No",L32="UNMAPPED",M32="YES"),"NEEDS REVIEW","OK")</f>
        <v>OK</v>
      </c>
    </row>
    <row r="33" customFormat="false" ht="15" hidden="false" customHeight="false" outlineLevel="0" collapsed="false">
      <c r="A33" s="7" t="str">
        <f aca="false">'Raw_Data (Before)'!A33</f>
        <v>EMP0130</v>
      </c>
      <c r="B33" s="7" t="str">
        <f aca="false">PROPER(TRIM('Raw_Data (Before)'!B33))</f>
        <v>Gabriel Uche</v>
      </c>
      <c r="C33" s="7" t="str">
        <f aca="false">IFERROR(INDEX(Lookup_Tables!$B$5:$B$24,MATCH(UPPER(TRIM('Raw_Data (Before)'!C33)),Lookup_Tables!$A$5:$A$24,0)),"UNMAPPED")</f>
        <v>IT</v>
      </c>
      <c r="D33" s="7" t="str">
        <f aca="false">IFERROR(INDEX(Lookup_Tables!$E$5:$E$8,MATCH(UPPER(TRIM('Raw_Data (Before)'!D33)),Lookup_Tables!$D$5:$D$8,0)),"UNMAPPED")</f>
        <v>Female</v>
      </c>
      <c r="E33" s="7" t="n">
        <f aca="false">'Raw_Data (Before)'!E33</f>
        <v>37</v>
      </c>
      <c r="F33" s="7" t="str">
        <f aca="false">IF(E33="","No",IF(OR(E33&lt;16,E33&gt;75),"No","Yes"))</f>
        <v>Yes</v>
      </c>
      <c r="G33" s="7" t="n">
        <f aca="false">IFERROR(VALUE(SUBSTITUTE(SUBSTITUTE('Raw_Data (Before)'!F33,"₦",""),",","")),"")</f>
        <v>119710</v>
      </c>
      <c r="H33" s="7" t="str">
        <f aca="false">IF(G33="","No",IF(OR(G33&lt;=0,G33&gt;5000000),"No","Yes"))</f>
        <v>Yes</v>
      </c>
      <c r="I33" s="8" t="n">
        <f aca="false">IFERROR(DATEVALUE('Raw_Data (Before)'!G33),"")</f>
        <v>45530</v>
      </c>
      <c r="J33" s="7" t="str">
        <f aca="false">IF(I33="","No","Yes")</f>
        <v>Yes</v>
      </c>
      <c r="K33" s="7" t="str">
        <f aca="false">IF(OR(ISERROR(FIND("@",'Raw_Data (Before)'!H33)),ISNUMBER(FIND("@@",'Raw_Data (Before)'!H33)),ISNUMBER(FIND(" ",'Raw_Data (Before)'!H33)),ISERROR(FIND(".",'Raw_Data (Before)'!H33,FIND("@",'Raw_Data (Before)'!H33)))),"No","Yes")</f>
        <v>Yes</v>
      </c>
      <c r="L33" s="7" t="str">
        <f aca="false">IFERROR(INDEX(Lookup_Tables!$H$5:$H$9,MATCH(UPPER(TRIM('Raw_Data (Before)'!I33)),Lookup_Tables!$G$5:$G$9,0)),"UNMAPPED")</f>
        <v>Active</v>
      </c>
      <c r="M33" s="7" t="str">
        <f aca="false">IF(COUNTIF('Raw_Data (Before)'!$A$5:$A$424,A33)&gt;1,"YES","No")</f>
        <v>No</v>
      </c>
      <c r="N33" s="7" t="str">
        <f aca="false">IF(OR(C33="UNMAPPED",D33="UNMAPPED",F33="No",H33="No",J33="No",K33="No",L33="UNMAPPED",M33="YES"),"NEEDS REVIEW","OK")</f>
        <v>OK</v>
      </c>
    </row>
    <row r="34" customFormat="false" ht="15" hidden="false" customHeight="false" outlineLevel="0" collapsed="false">
      <c r="A34" s="7" t="str">
        <f aca="false">'Raw_Data (Before)'!A34</f>
        <v>EMP0116</v>
      </c>
      <c r="B34" s="7" t="str">
        <f aca="false">PROPER(TRIM('Raw_Data (Before)'!B34))</f>
        <v>Victor Adamu</v>
      </c>
      <c r="C34" s="7" t="str">
        <f aca="false">IFERROR(INDEX(Lookup_Tables!$B$5:$B$24,MATCH(UPPER(TRIM('Raw_Data (Before)'!C34)),Lookup_Tables!$A$5:$A$24,0)),"UNMAPPED")</f>
        <v>IT</v>
      </c>
      <c r="D34" s="7" t="str">
        <f aca="false">IFERROR(INDEX(Lookup_Tables!$E$5:$E$8,MATCH(UPPER(TRIM('Raw_Data (Before)'!D34)),Lookup_Tables!$D$5:$D$8,0)),"UNMAPPED")</f>
        <v>Female</v>
      </c>
      <c r="E34" s="7" t="n">
        <f aca="false">'Raw_Data (Before)'!E34</f>
        <v>24</v>
      </c>
      <c r="F34" s="7" t="str">
        <f aca="false">IF(E34="","No",IF(OR(E34&lt;16,E34&gt;75),"No","Yes"))</f>
        <v>Yes</v>
      </c>
      <c r="G34" s="7" t="n">
        <f aca="false">IFERROR(VALUE(SUBSTITUTE(SUBSTITUTE('Raw_Data (Before)'!F34,"₦",""),",","")),"")</f>
        <v>907354</v>
      </c>
      <c r="H34" s="7" t="str">
        <f aca="false">IF(G34="","No",IF(OR(G34&lt;=0,G34&gt;5000000),"No","Yes"))</f>
        <v>Yes</v>
      </c>
      <c r="I34" s="8" t="n">
        <f aca="false">IFERROR(DATEVALUE('Raw_Data (Before)'!G34),"")</f>
        <v>43878</v>
      </c>
      <c r="J34" s="7" t="str">
        <f aca="false">IF(I34="","No","Yes")</f>
        <v>Yes</v>
      </c>
      <c r="K34" s="7" t="str">
        <f aca="false">IF(OR(ISERROR(FIND("@",'Raw_Data (Before)'!H34)),ISNUMBER(FIND("@@",'Raw_Data (Before)'!H34)),ISNUMBER(FIND(" ",'Raw_Data (Before)'!H34)),ISERROR(FIND(".",'Raw_Data (Before)'!H34,FIND("@",'Raw_Data (Before)'!H34)))),"No","Yes")</f>
        <v>Yes</v>
      </c>
      <c r="L34" s="7" t="str">
        <f aca="false">IFERROR(INDEX(Lookup_Tables!$H$5:$H$9,MATCH(UPPER(TRIM('Raw_Data (Before)'!I34)),Lookup_Tables!$G$5:$G$9,0)),"UNMAPPED")</f>
        <v>Active</v>
      </c>
      <c r="M34" s="7" t="str">
        <f aca="false">IF(COUNTIF('Raw_Data (Before)'!$A$5:$A$424,A34)&gt;1,"YES","No")</f>
        <v>No</v>
      </c>
      <c r="N34" s="7" t="str">
        <f aca="false">IF(OR(C34="UNMAPPED",D34="UNMAPPED",F34="No",H34="No",J34="No",K34="No",L34="UNMAPPED",M34="YES"),"NEEDS REVIEW","OK")</f>
        <v>OK</v>
      </c>
    </row>
    <row r="35" customFormat="false" ht="15" hidden="false" customHeight="false" outlineLevel="0" collapsed="false">
      <c r="A35" s="7" t="str">
        <f aca="false">'Raw_Data (Before)'!A35</f>
        <v>EMP0169</v>
      </c>
      <c r="B35" s="7" t="str">
        <f aca="false">PROPER(TRIM('Raw_Data (Before)'!B35))</f>
        <v>Ruth Okafor</v>
      </c>
      <c r="C35" s="7" t="str">
        <f aca="false">IFERROR(INDEX(Lookup_Tables!$B$5:$B$24,MATCH(UPPER(TRIM('Raw_Data (Before)'!C35)),Lookup_Tables!$A$5:$A$24,0)),"UNMAPPED")</f>
        <v>Finance</v>
      </c>
      <c r="D35" s="7" t="str">
        <f aca="false">IFERROR(INDEX(Lookup_Tables!$E$5:$E$8,MATCH(UPPER(TRIM('Raw_Data (Before)'!D35)),Lookup_Tables!$D$5:$D$8,0)),"UNMAPPED")</f>
        <v>Female</v>
      </c>
      <c r="E35" s="7" t="n">
        <f aca="false">'Raw_Data (Before)'!E35</f>
        <v>42</v>
      </c>
      <c r="F35" s="7" t="str">
        <f aca="false">IF(E35="","No",IF(OR(E35&lt;16,E35&gt;75),"No","Yes"))</f>
        <v>Yes</v>
      </c>
      <c r="G35" s="7" t="n">
        <f aca="false">IFERROR(VALUE(SUBSTITUTE(SUBSTITUTE('Raw_Data (Before)'!F35,"₦",""),",","")),"")</f>
        <v>639677</v>
      </c>
      <c r="H35" s="7" t="str">
        <f aca="false">IF(G35="","No",IF(OR(G35&lt;=0,G35&gt;5000000),"No","Yes"))</f>
        <v>Yes</v>
      </c>
      <c r="I35" s="8" t="n">
        <f aca="false">IFERROR(DATEVALUE('Raw_Data (Before)'!G35),"")</f>
        <v>44723</v>
      </c>
      <c r="J35" s="7" t="str">
        <f aca="false">IF(I35="","No","Yes")</f>
        <v>Yes</v>
      </c>
      <c r="K35" s="7" t="str">
        <f aca="false">IF(OR(ISERROR(FIND("@",'Raw_Data (Before)'!H35)),ISNUMBER(FIND("@@",'Raw_Data (Before)'!H35)),ISNUMBER(FIND(" ",'Raw_Data (Before)'!H35)),ISERROR(FIND(".",'Raw_Data (Before)'!H35,FIND("@",'Raw_Data (Before)'!H35)))),"No","Yes")</f>
        <v>Yes</v>
      </c>
      <c r="L35" s="7" t="str">
        <f aca="false">IFERROR(INDEX(Lookup_Tables!$H$5:$H$9,MATCH(UPPER(TRIM('Raw_Data (Before)'!I35)),Lookup_Tables!$G$5:$G$9,0)),"UNMAPPED")</f>
        <v>Active</v>
      </c>
      <c r="M35" s="7" t="str">
        <f aca="false">IF(COUNTIF('Raw_Data (Before)'!$A$5:$A$424,A35)&gt;1,"YES","No")</f>
        <v>No</v>
      </c>
      <c r="N35" s="7" t="str">
        <f aca="false">IF(OR(C35="UNMAPPED",D35="UNMAPPED",F35="No",H35="No",J35="No",K35="No",L35="UNMAPPED",M35="YES"),"NEEDS REVIEW","OK")</f>
        <v>OK</v>
      </c>
    </row>
    <row r="36" customFormat="false" ht="15" hidden="false" customHeight="false" outlineLevel="0" collapsed="false">
      <c r="A36" s="7" t="str">
        <f aca="false">'Raw_Data (Before)'!A36</f>
        <v>EMP0067</v>
      </c>
      <c r="B36" s="7" t="str">
        <f aca="false">PROPER(TRIM('Raw_Data (Before)'!B36))</f>
        <v>John Umeh</v>
      </c>
      <c r="C36" s="7" t="str">
        <f aca="false">IFERROR(INDEX(Lookup_Tables!$B$5:$B$24,MATCH(UPPER(TRIM('Raw_Data (Before)'!C36)),Lookup_Tables!$A$5:$A$24,0)),"UNMAPPED")</f>
        <v>HR</v>
      </c>
      <c r="D36" s="7" t="str">
        <f aca="false">IFERROR(INDEX(Lookup_Tables!$E$5:$E$8,MATCH(UPPER(TRIM('Raw_Data (Before)'!D36)),Lookup_Tables!$D$5:$D$8,0)),"UNMAPPED")</f>
        <v>Male</v>
      </c>
      <c r="E36" s="7" t="n">
        <f aca="false">'Raw_Data (Before)'!E36</f>
        <v>25</v>
      </c>
      <c r="F36" s="7" t="str">
        <f aca="false">IF(E36="","No",IF(OR(E36&lt;16,E36&gt;75),"No","Yes"))</f>
        <v>Yes</v>
      </c>
      <c r="G36" s="7" t="n">
        <f aca="false">IFERROR(VALUE(SUBSTITUTE(SUBSTITUTE('Raw_Data (Before)'!F36,"₦",""),",","")),"")</f>
        <v>50799700</v>
      </c>
      <c r="H36" s="7" t="str">
        <f aca="false">IF(G36="","No",IF(OR(G36&lt;=0,G36&gt;5000000),"No","Yes"))</f>
        <v>No</v>
      </c>
      <c r="I36" s="8" t="n">
        <f aca="false">IFERROR(DATEVALUE('Raw_Data (Before)'!G36),"")</f>
        <v>43229</v>
      </c>
      <c r="J36" s="7" t="str">
        <f aca="false">IF(I36="","No","Yes")</f>
        <v>Yes</v>
      </c>
      <c r="K36" s="7" t="str">
        <f aca="false">IF(OR(ISERROR(FIND("@",'Raw_Data (Before)'!H36)),ISNUMBER(FIND("@@",'Raw_Data (Before)'!H36)),ISNUMBER(FIND(" ",'Raw_Data (Before)'!H36)),ISERROR(FIND(".",'Raw_Data (Before)'!H36,FIND("@",'Raw_Data (Before)'!H36)))),"No","Yes")</f>
        <v>Yes</v>
      </c>
      <c r="L36" s="7" t="str">
        <f aca="false">IFERROR(INDEX(Lookup_Tables!$H$5:$H$9,MATCH(UPPER(TRIM('Raw_Data (Before)'!I36)),Lookup_Tables!$G$5:$G$9,0)),"UNMAPPED")</f>
        <v>Active</v>
      </c>
      <c r="M36" s="7" t="str">
        <f aca="false">IF(COUNTIF('Raw_Data (Before)'!$A$5:$A$424,A36)&gt;1,"YES","No")</f>
        <v>No</v>
      </c>
      <c r="N36" s="7" t="str">
        <f aca="false">IF(OR(C36="UNMAPPED",D36="UNMAPPED",F36="No",H36="No",J36="No",K36="No",L36="UNMAPPED",M36="YES"),"NEEDS REVIEW","OK")</f>
        <v>NEEDS REVIEW</v>
      </c>
    </row>
    <row r="37" customFormat="false" ht="15" hidden="false" customHeight="false" outlineLevel="0" collapsed="false">
      <c r="A37" s="7" t="str">
        <f aca="false">'Raw_Data (Before)'!A37</f>
        <v>EMP0229</v>
      </c>
      <c r="B37" s="7" t="str">
        <f aca="false">PROPER(TRIM('Raw_Data (Before)'!B37))</f>
        <v>James Nnamdi</v>
      </c>
      <c r="C37" s="7" t="str">
        <f aca="false">IFERROR(INDEX(Lookup_Tables!$B$5:$B$24,MATCH(UPPER(TRIM('Raw_Data (Before)'!C37)),Lookup_Tables!$A$5:$A$24,0)),"UNMAPPED")</f>
        <v>Operations</v>
      </c>
      <c r="D37" s="7" t="str">
        <f aca="false">IFERROR(INDEX(Lookup_Tables!$E$5:$E$8,MATCH(UPPER(TRIM('Raw_Data (Before)'!D37)),Lookup_Tables!$D$5:$D$8,0)),"UNMAPPED")</f>
        <v>Female</v>
      </c>
      <c r="E37" s="7" t="n">
        <f aca="false">'Raw_Data (Before)'!E37</f>
        <v>0</v>
      </c>
      <c r="F37" s="7" t="str">
        <f aca="false">IF(E37="","No",IF(OR(E37&lt;16,E37&gt;75),"No","Yes"))</f>
        <v>No</v>
      </c>
      <c r="G37" s="7" t="n">
        <f aca="false">IFERROR(VALUE(SUBSTITUTE(SUBSTITUTE('Raw_Data (Before)'!F37,"₦",""),",","")),"")</f>
        <v>267096</v>
      </c>
      <c r="H37" s="7" t="str">
        <f aca="false">IF(G37="","No",IF(OR(G37&lt;=0,G37&gt;5000000),"No","Yes"))</f>
        <v>Yes</v>
      </c>
      <c r="I37" s="8" t="n">
        <f aca="false">IFERROR(DATEVALUE('Raw_Data (Before)'!G37),"")</f>
        <v>45437</v>
      </c>
      <c r="J37" s="7" t="str">
        <f aca="false">IF(I37="","No","Yes")</f>
        <v>Yes</v>
      </c>
      <c r="K37" s="7" t="str">
        <f aca="false">IF(OR(ISERROR(FIND("@",'Raw_Data (Before)'!H37)),ISNUMBER(FIND("@@",'Raw_Data (Before)'!H37)),ISNUMBER(FIND(" ",'Raw_Data (Before)'!H37)),ISERROR(FIND(".",'Raw_Data (Before)'!H37,FIND("@",'Raw_Data (Before)'!H37)))),"No","Yes")</f>
        <v>Yes</v>
      </c>
      <c r="L37" s="7" t="str">
        <f aca="false">IFERROR(INDEX(Lookup_Tables!$H$5:$H$9,MATCH(UPPER(TRIM('Raw_Data (Before)'!I37)),Lookup_Tables!$G$5:$G$9,0)),"UNMAPPED")</f>
        <v>Active</v>
      </c>
      <c r="M37" s="7" t="str">
        <f aca="false">IF(COUNTIF('Raw_Data (Before)'!$A$5:$A$424,A37)&gt;1,"YES","No")</f>
        <v>No</v>
      </c>
      <c r="N37" s="7" t="str">
        <f aca="false">IF(OR(C37="UNMAPPED",D37="UNMAPPED",F37="No",H37="No",J37="No",K37="No",L37="UNMAPPED",M37="YES"),"NEEDS REVIEW","OK")</f>
        <v>NEEDS REVIEW</v>
      </c>
    </row>
    <row r="38" customFormat="false" ht="15" hidden="false" customHeight="false" outlineLevel="0" collapsed="false">
      <c r="A38" s="7" t="str">
        <f aca="false">'Raw_Data (Before)'!A38</f>
        <v>EMP0377</v>
      </c>
      <c r="B38" s="7" t="str">
        <f aca="false">PROPER(TRIM('Raw_Data (Before)'!B38))</f>
        <v>Peter Lawal</v>
      </c>
      <c r="C38" s="7" t="str">
        <f aca="false">IFERROR(INDEX(Lookup_Tables!$B$5:$B$24,MATCH(UPPER(TRIM('Raw_Data (Before)'!C38)),Lookup_Tables!$A$5:$A$24,0)),"UNMAPPED")</f>
        <v>IT</v>
      </c>
      <c r="D38" s="7" t="str">
        <f aca="false">IFERROR(INDEX(Lookup_Tables!$E$5:$E$8,MATCH(UPPER(TRIM('Raw_Data (Before)'!D38)),Lookup_Tables!$D$5:$D$8,0)),"UNMAPPED")</f>
        <v>Male</v>
      </c>
      <c r="E38" s="7" t="n">
        <f aca="false">'Raw_Data (Before)'!E38</f>
        <v>55</v>
      </c>
      <c r="F38" s="7" t="str">
        <f aca="false">IF(E38="","No",IF(OR(E38&lt;16,E38&gt;75),"No","Yes"))</f>
        <v>Yes</v>
      </c>
      <c r="G38" s="7" t="n">
        <f aca="false">IFERROR(VALUE(SUBSTITUTE(SUBSTITUTE('Raw_Data (Before)'!F38,"₦",""),",","")),"")</f>
        <v>866471</v>
      </c>
      <c r="H38" s="7" t="str">
        <f aca="false">IF(G38="","No",IF(OR(G38&lt;=0,G38&gt;5000000),"No","Yes"))</f>
        <v>Yes</v>
      </c>
      <c r="I38" s="8" t="n">
        <f aca="false">IFERROR(DATEVALUE('Raw_Data (Before)'!G38),"")</f>
        <v>45396</v>
      </c>
      <c r="J38" s="7" t="str">
        <f aca="false">IF(I38="","No","Yes")</f>
        <v>Yes</v>
      </c>
      <c r="K38" s="7" t="str">
        <f aca="false">IF(OR(ISERROR(FIND("@",'Raw_Data (Before)'!H38)),ISNUMBER(FIND("@@",'Raw_Data (Before)'!H38)),ISNUMBER(FIND(" ",'Raw_Data (Before)'!H38)),ISERROR(FIND(".",'Raw_Data (Before)'!H38,FIND("@",'Raw_Data (Before)'!H38)))),"No","Yes")</f>
        <v>No</v>
      </c>
      <c r="L38" s="7" t="str">
        <f aca="false">IFERROR(INDEX(Lookup_Tables!$H$5:$H$9,MATCH(UPPER(TRIM('Raw_Data (Before)'!I38)),Lookup_Tables!$G$5:$G$9,0)),"UNMAPPED")</f>
        <v>Active</v>
      </c>
      <c r="M38" s="7" t="str">
        <f aca="false">IF(COUNTIF('Raw_Data (Before)'!$A$5:$A$424,A38)&gt;1,"YES","No")</f>
        <v>No</v>
      </c>
      <c r="N38" s="7" t="str">
        <f aca="false">IF(OR(C38="UNMAPPED",D38="UNMAPPED",F38="No",H38="No",J38="No",K38="No",L38="UNMAPPED",M38="YES"),"NEEDS REVIEW","OK")</f>
        <v>NEEDS REVIEW</v>
      </c>
    </row>
    <row r="39" customFormat="false" ht="15" hidden="false" customHeight="false" outlineLevel="0" collapsed="false">
      <c r="A39" s="7" t="str">
        <f aca="false">'Raw_Data (Before)'!A39</f>
        <v>EMP0334</v>
      </c>
      <c r="B39" s="7" t="str">
        <f aca="false">PROPER(TRIM('Raw_Data (Before)'!B39))</f>
        <v>Aisha Adeyemi</v>
      </c>
      <c r="C39" s="7" t="str">
        <f aca="false">IFERROR(INDEX(Lookup_Tables!$B$5:$B$24,MATCH(UPPER(TRIM('Raw_Data (Before)'!C39)),Lookup_Tables!$A$5:$A$24,0)),"UNMAPPED")</f>
        <v>Customer Service</v>
      </c>
      <c r="D39" s="7" t="str">
        <f aca="false">IFERROR(INDEX(Lookup_Tables!$E$5:$E$8,MATCH(UPPER(TRIM('Raw_Data (Before)'!D39)),Lookup_Tables!$D$5:$D$8,0)),"UNMAPPED")</f>
        <v>Male</v>
      </c>
      <c r="E39" s="7" t="n">
        <f aca="false">'Raw_Data (Before)'!E39</f>
        <v>41</v>
      </c>
      <c r="F39" s="7" t="str">
        <f aca="false">IF(E39="","No",IF(OR(E39&lt;16,E39&gt;75),"No","Yes"))</f>
        <v>Yes</v>
      </c>
      <c r="G39" s="7" t="n">
        <f aca="false">IFERROR(VALUE(SUBSTITUTE(SUBSTITUTE('Raw_Data (Before)'!F39,"₦",""),",","")),"")</f>
        <v>318993</v>
      </c>
      <c r="H39" s="7" t="str">
        <f aca="false">IF(G39="","No",IF(OR(G39&lt;=0,G39&gt;5000000),"No","Yes"))</f>
        <v>Yes</v>
      </c>
      <c r="I39" s="8" t="str">
        <f aca="false">IFERROR(DATEVALUE('Raw_Data (Before)'!G39),"")</f>
        <v/>
      </c>
      <c r="J39" s="7" t="str">
        <f aca="false">IF(I39="","No","Yes")</f>
        <v>No</v>
      </c>
      <c r="K39" s="7" t="str">
        <f aca="false">IF(OR(ISERROR(FIND("@",'Raw_Data (Before)'!H39)),ISNUMBER(FIND("@@",'Raw_Data (Before)'!H39)),ISNUMBER(FIND(" ",'Raw_Data (Before)'!H39)),ISERROR(FIND(".",'Raw_Data (Before)'!H39,FIND("@",'Raw_Data (Before)'!H39)))),"No","Yes")</f>
        <v>Yes</v>
      </c>
      <c r="L39" s="7" t="str">
        <f aca="false">IFERROR(INDEX(Lookup_Tables!$H$5:$H$9,MATCH(UPPER(TRIM('Raw_Data (Before)'!I39)),Lookup_Tables!$G$5:$G$9,0)),"UNMAPPED")</f>
        <v>Active</v>
      </c>
      <c r="M39" s="7" t="str">
        <f aca="false">IF(COUNTIF('Raw_Data (Before)'!$A$5:$A$424,A39)&gt;1,"YES","No")</f>
        <v>No</v>
      </c>
      <c r="N39" s="7" t="str">
        <f aca="false">IF(OR(C39="UNMAPPED",D39="UNMAPPED",F39="No",H39="No",J39="No",K39="No",L39="UNMAPPED",M39="YES"),"NEEDS REVIEW","OK")</f>
        <v>NEEDS REVIEW</v>
      </c>
    </row>
    <row r="40" customFormat="false" ht="15" hidden="false" customHeight="false" outlineLevel="0" collapsed="false">
      <c r="A40" s="7" t="str">
        <f aca="false">'Raw_Data (Before)'!A40</f>
        <v>EMP0288</v>
      </c>
      <c r="B40" s="7" t="str">
        <f aca="false">PROPER(TRIM('Raw_Data (Before)'!B40))</f>
        <v>John Okafor</v>
      </c>
      <c r="C40" s="7" t="str">
        <f aca="false">IFERROR(INDEX(Lookup_Tables!$B$5:$B$24,MATCH(UPPER(TRIM('Raw_Data (Before)'!C40)),Lookup_Tables!$A$5:$A$24,0)),"UNMAPPED")</f>
        <v>Customer Service</v>
      </c>
      <c r="D40" s="7" t="str">
        <f aca="false">IFERROR(INDEX(Lookup_Tables!$E$5:$E$8,MATCH(UPPER(TRIM('Raw_Data (Before)'!D40)),Lookup_Tables!$D$5:$D$8,0)),"UNMAPPED")</f>
        <v>Male</v>
      </c>
      <c r="E40" s="7" t="n">
        <f aca="false">'Raw_Data (Before)'!E40</f>
        <v>39</v>
      </c>
      <c r="F40" s="7" t="str">
        <f aca="false">IF(E40="","No",IF(OR(E40&lt;16,E40&gt;75),"No","Yes"))</f>
        <v>Yes</v>
      </c>
      <c r="G40" s="7" t="n">
        <f aca="false">IFERROR(VALUE(SUBSTITUTE(SUBSTITUTE('Raw_Data (Before)'!F40,"₦",""),",","")),"")</f>
        <v>559284</v>
      </c>
      <c r="H40" s="7" t="str">
        <f aca="false">IF(G40="","No",IF(OR(G40&lt;=0,G40&gt;5000000),"No","Yes"))</f>
        <v>Yes</v>
      </c>
      <c r="I40" s="8" t="n">
        <f aca="false">IFERROR(DATEVALUE('Raw_Data (Before)'!G40),"")</f>
        <v>43323</v>
      </c>
      <c r="J40" s="7" t="str">
        <f aca="false">IF(I40="","No","Yes")</f>
        <v>Yes</v>
      </c>
      <c r="K40" s="7" t="str">
        <f aca="false">IF(OR(ISERROR(FIND("@",'Raw_Data (Before)'!H40)),ISNUMBER(FIND("@@",'Raw_Data (Before)'!H40)),ISNUMBER(FIND(" ",'Raw_Data (Before)'!H40)),ISERROR(FIND(".",'Raw_Data (Before)'!H40,FIND("@",'Raw_Data (Before)'!H40)))),"No","Yes")</f>
        <v>No</v>
      </c>
      <c r="L40" s="7" t="str">
        <f aca="false">IFERROR(INDEX(Lookup_Tables!$H$5:$H$9,MATCH(UPPER(TRIM('Raw_Data (Before)'!I40)),Lookup_Tables!$G$5:$G$9,0)),"UNMAPPED")</f>
        <v>Active</v>
      </c>
      <c r="M40" s="7" t="str">
        <f aca="false">IF(COUNTIF('Raw_Data (Before)'!$A$5:$A$424,A40)&gt;1,"YES","No")</f>
        <v>No</v>
      </c>
      <c r="N40" s="7" t="str">
        <f aca="false">IF(OR(C40="UNMAPPED",D40="UNMAPPED",F40="No",H40="No",J40="No",K40="No",L40="UNMAPPED",M40="YES"),"NEEDS REVIEW","OK")</f>
        <v>NEEDS REVIEW</v>
      </c>
    </row>
    <row r="41" customFormat="false" ht="15" hidden="false" customHeight="false" outlineLevel="0" collapsed="false">
      <c r="A41" s="7" t="str">
        <f aca="false">'Raw_Data (Before)'!A41</f>
        <v>EMP0071</v>
      </c>
      <c r="B41" s="7" t="str">
        <f aca="false">PROPER(TRIM('Raw_Data (Before)'!B41))</f>
        <v>Ngozi Nnamdi</v>
      </c>
      <c r="C41" s="7" t="str">
        <f aca="false">IFERROR(INDEX(Lookup_Tables!$B$5:$B$24,MATCH(UPPER(TRIM('Raw_Data (Before)'!C41)),Lookup_Tables!$A$5:$A$24,0)),"UNMAPPED")</f>
        <v>Finance</v>
      </c>
      <c r="D41" s="7" t="str">
        <f aca="false">IFERROR(INDEX(Lookup_Tables!$E$5:$E$8,MATCH(UPPER(TRIM('Raw_Data (Before)'!D41)),Lookup_Tables!$D$5:$D$8,0)),"UNMAPPED")</f>
        <v>Male</v>
      </c>
      <c r="E41" s="7" t="n">
        <f aca="false">'Raw_Data (Before)'!E41</f>
        <v>23</v>
      </c>
      <c r="F41" s="7" t="str">
        <f aca="false">IF(E41="","No",IF(OR(E41&lt;16,E41&gt;75),"No","Yes"))</f>
        <v>Yes</v>
      </c>
      <c r="G41" s="7" t="n">
        <f aca="false">IFERROR(VALUE(SUBSTITUTE(SUBSTITUTE('Raw_Data (Before)'!F41,"₦",""),",","")),"")</f>
        <v>586185</v>
      </c>
      <c r="H41" s="7" t="str">
        <f aca="false">IF(G41="","No",IF(OR(G41&lt;=0,G41&gt;5000000),"No","Yes"))</f>
        <v>Yes</v>
      </c>
      <c r="I41" s="8" t="str">
        <f aca="false">IFERROR(DATEVALUE('Raw_Data (Before)'!G41),"")</f>
        <v/>
      </c>
      <c r="J41" s="7" t="str">
        <f aca="false">IF(I41="","No","Yes")</f>
        <v>No</v>
      </c>
      <c r="K41" s="7" t="str">
        <f aca="false">IF(OR(ISERROR(FIND("@",'Raw_Data (Before)'!H41)),ISNUMBER(FIND("@@",'Raw_Data (Before)'!H41)),ISNUMBER(FIND(" ",'Raw_Data (Before)'!H41)),ISERROR(FIND(".",'Raw_Data (Before)'!H41,FIND("@",'Raw_Data (Before)'!H41)))),"No","Yes")</f>
        <v>Yes</v>
      </c>
      <c r="L41" s="7" t="str">
        <f aca="false">IFERROR(INDEX(Lookup_Tables!$H$5:$H$9,MATCH(UPPER(TRIM('Raw_Data (Before)'!I41)),Lookup_Tables!$G$5:$G$9,0)),"UNMAPPED")</f>
        <v>Active</v>
      </c>
      <c r="M41" s="7" t="str">
        <f aca="false">IF(COUNTIF('Raw_Data (Before)'!$A$5:$A$424,A41)&gt;1,"YES","No")</f>
        <v>No</v>
      </c>
      <c r="N41" s="7" t="str">
        <f aca="false">IF(OR(C41="UNMAPPED",D41="UNMAPPED",F41="No",H41="No",J41="No",K41="No",L41="UNMAPPED",M41="YES"),"NEEDS REVIEW","OK")</f>
        <v>NEEDS REVIEW</v>
      </c>
    </row>
    <row r="42" customFormat="false" ht="15" hidden="false" customHeight="false" outlineLevel="0" collapsed="false">
      <c r="A42" s="7" t="str">
        <f aca="false">'Raw_Data (Before)'!A42</f>
        <v>EMP0312</v>
      </c>
      <c r="B42" s="7" t="str">
        <f aca="false">PROPER(TRIM('Raw_Data (Before)'!B42))</f>
        <v>Emmanuel Bello</v>
      </c>
      <c r="C42" s="7" t="str">
        <f aca="false">IFERROR(INDEX(Lookup_Tables!$B$5:$B$24,MATCH(UPPER(TRIM('Raw_Data (Before)'!C42)),Lookup_Tables!$A$5:$A$24,0)),"UNMAPPED")</f>
        <v>IT</v>
      </c>
      <c r="D42" s="7" t="str">
        <f aca="false">IFERROR(INDEX(Lookup_Tables!$E$5:$E$8,MATCH(UPPER(TRIM('Raw_Data (Before)'!D42)),Lookup_Tables!$D$5:$D$8,0)),"UNMAPPED")</f>
        <v>Male</v>
      </c>
      <c r="E42" s="7" t="n">
        <f aca="false">'Raw_Data (Before)'!E42</f>
        <v>47</v>
      </c>
      <c r="F42" s="7" t="str">
        <f aca="false">IF(E42="","No",IF(OR(E42&lt;16,E42&gt;75),"No","Yes"))</f>
        <v>Yes</v>
      </c>
      <c r="G42" s="7" t="n">
        <f aca="false">IFERROR(VALUE(SUBSTITUTE(SUBSTITUTE('Raw_Data (Before)'!F42,"₦",""),",","")),"")</f>
        <v>345475</v>
      </c>
      <c r="H42" s="7" t="str">
        <f aca="false">IF(G42="","No",IF(OR(G42&lt;=0,G42&gt;5000000),"No","Yes"))</f>
        <v>Yes</v>
      </c>
      <c r="I42" s="8" t="n">
        <f aca="false">IFERROR(DATEVALUE('Raw_Data (Before)'!G42),"")</f>
        <v>43429</v>
      </c>
      <c r="J42" s="7" t="str">
        <f aca="false">IF(I42="","No","Yes")</f>
        <v>Yes</v>
      </c>
      <c r="K42" s="7" t="str">
        <f aca="false">IF(OR(ISERROR(FIND("@",'Raw_Data (Before)'!H42)),ISNUMBER(FIND("@@",'Raw_Data (Before)'!H42)),ISNUMBER(FIND(" ",'Raw_Data (Before)'!H42)),ISERROR(FIND(".",'Raw_Data (Before)'!H42,FIND("@",'Raw_Data (Before)'!H42)))),"No","Yes")</f>
        <v>Yes</v>
      </c>
      <c r="L42" s="7" t="str">
        <f aca="false">IFERROR(INDEX(Lookup_Tables!$H$5:$H$9,MATCH(UPPER(TRIM('Raw_Data (Before)'!I42)),Lookup_Tables!$G$5:$G$9,0)),"UNMAPPED")</f>
        <v>Active</v>
      </c>
      <c r="M42" s="7" t="str">
        <f aca="false">IF(COUNTIF('Raw_Data (Before)'!$A$5:$A$424,A42)&gt;1,"YES","No")</f>
        <v>No</v>
      </c>
      <c r="N42" s="7" t="str">
        <f aca="false">IF(OR(C42="UNMAPPED",D42="UNMAPPED",F42="No",H42="No",J42="No",K42="No",L42="UNMAPPED",M42="YES"),"NEEDS REVIEW","OK")</f>
        <v>OK</v>
      </c>
    </row>
    <row r="43" customFormat="false" ht="15" hidden="false" customHeight="false" outlineLevel="0" collapsed="false">
      <c r="A43" s="7" t="str">
        <f aca="false">'Raw_Data (Before)'!A43</f>
        <v>EMP0264</v>
      </c>
      <c r="B43" s="7" t="str">
        <f aca="false">PROPER(TRIM('Raw_Data (Before)'!B43))</f>
        <v>Joy Ajayi</v>
      </c>
      <c r="C43" s="7" t="str">
        <f aca="false">IFERROR(INDEX(Lookup_Tables!$B$5:$B$24,MATCH(UPPER(TRIM('Raw_Data (Before)'!C43)),Lookup_Tables!$A$5:$A$24,0)),"UNMAPPED")</f>
        <v>Operations</v>
      </c>
      <c r="D43" s="7" t="str">
        <f aca="false">IFERROR(INDEX(Lookup_Tables!$E$5:$E$8,MATCH(UPPER(TRIM('Raw_Data (Before)'!D43)),Lookup_Tables!$D$5:$D$8,0)),"UNMAPPED")</f>
        <v>Male</v>
      </c>
      <c r="E43" s="7" t="n">
        <f aca="false">'Raw_Data (Before)'!E43</f>
        <v>45</v>
      </c>
      <c r="F43" s="7" t="str">
        <f aca="false">IF(E43="","No",IF(OR(E43&lt;16,E43&gt;75),"No","Yes"))</f>
        <v>Yes</v>
      </c>
      <c r="G43" s="7" t="n">
        <f aca="false">IFERROR(VALUE(SUBSTITUTE(SUBSTITUTE('Raw_Data (Before)'!F43,"₦",""),",","")),"")</f>
        <v>596940</v>
      </c>
      <c r="H43" s="7" t="str">
        <f aca="false">IF(G43="","No",IF(OR(G43&lt;=0,G43&gt;5000000),"No","Yes"))</f>
        <v>Yes</v>
      </c>
      <c r="I43" s="8" t="n">
        <f aca="false">IFERROR(DATEVALUE('Raw_Data (Before)'!G43),"")</f>
        <v>45965</v>
      </c>
      <c r="J43" s="7" t="str">
        <f aca="false">IF(I43="","No","Yes")</f>
        <v>Yes</v>
      </c>
      <c r="K43" s="7" t="str">
        <f aca="false">IF(OR(ISERROR(FIND("@",'Raw_Data (Before)'!H43)),ISNUMBER(FIND("@@",'Raw_Data (Before)'!H43)),ISNUMBER(FIND(" ",'Raw_Data (Before)'!H43)),ISERROR(FIND(".",'Raw_Data (Before)'!H43,FIND("@",'Raw_Data (Before)'!H43)))),"No","Yes")</f>
        <v>Yes</v>
      </c>
      <c r="L43" s="7" t="str">
        <f aca="false">IFERROR(INDEX(Lookup_Tables!$H$5:$H$9,MATCH(UPPER(TRIM('Raw_Data (Before)'!I43)),Lookup_Tables!$G$5:$G$9,0)),"UNMAPPED")</f>
        <v>Active</v>
      </c>
      <c r="M43" s="7" t="str">
        <f aca="false">IF(COUNTIF('Raw_Data (Before)'!$A$5:$A$424,A43)&gt;1,"YES","No")</f>
        <v>No</v>
      </c>
      <c r="N43" s="7" t="str">
        <f aca="false">IF(OR(C43="UNMAPPED",D43="UNMAPPED",F43="No",H43="No",J43="No",K43="No",L43="UNMAPPED",M43="YES"),"NEEDS REVIEW","OK")</f>
        <v>OK</v>
      </c>
    </row>
    <row r="44" customFormat="false" ht="15" hidden="false" customHeight="false" outlineLevel="0" collapsed="false">
      <c r="A44" s="7" t="str">
        <f aca="false">'Raw_Data (Before)'!A44</f>
        <v>EMP0378</v>
      </c>
      <c r="B44" s="7" t="str">
        <f aca="false">PROPER(TRIM('Raw_Data (Before)'!B44))</f>
        <v>Ruth Duru</v>
      </c>
      <c r="C44" s="7" t="str">
        <f aca="false">IFERROR(INDEX(Lookup_Tables!$B$5:$B$24,MATCH(UPPER(TRIM('Raw_Data (Before)'!C44)),Lookup_Tables!$A$5:$A$24,0)),"UNMAPPED")</f>
        <v>Finance</v>
      </c>
      <c r="D44" s="7" t="str">
        <f aca="false">IFERROR(INDEX(Lookup_Tables!$E$5:$E$8,MATCH(UPPER(TRIM('Raw_Data (Before)'!D44)),Lookup_Tables!$D$5:$D$8,0)),"UNMAPPED")</f>
        <v>Male</v>
      </c>
      <c r="E44" s="7" t="n">
        <f aca="false">'Raw_Data (Before)'!E44</f>
        <v>23</v>
      </c>
      <c r="F44" s="7" t="str">
        <f aca="false">IF(E44="","No",IF(OR(E44&lt;16,E44&gt;75),"No","Yes"))</f>
        <v>Yes</v>
      </c>
      <c r="G44" s="7" t="n">
        <f aca="false">IFERROR(VALUE(SUBSTITUTE(SUBSTITUTE('Raw_Data (Before)'!F44,"₦",""),",","")),"")</f>
        <v>313118</v>
      </c>
      <c r="H44" s="7" t="str">
        <f aca="false">IF(G44="","No",IF(OR(G44&lt;=0,G44&gt;5000000),"No","Yes"))</f>
        <v>Yes</v>
      </c>
      <c r="I44" s="8" t="n">
        <f aca="false">IFERROR(DATEVALUE('Raw_Data (Before)'!G44),"")</f>
        <v>44859</v>
      </c>
      <c r="J44" s="7" t="str">
        <f aca="false">IF(I44="","No","Yes")</f>
        <v>Yes</v>
      </c>
      <c r="K44" s="7" t="str">
        <f aca="false">IF(OR(ISERROR(FIND("@",'Raw_Data (Before)'!H44)),ISNUMBER(FIND("@@",'Raw_Data (Before)'!H44)),ISNUMBER(FIND(" ",'Raw_Data (Before)'!H44)),ISERROR(FIND(".",'Raw_Data (Before)'!H44,FIND("@",'Raw_Data (Before)'!H44)))),"No","Yes")</f>
        <v>Yes</v>
      </c>
      <c r="L44" s="7" t="str">
        <f aca="false">IFERROR(INDEX(Lookup_Tables!$H$5:$H$9,MATCH(UPPER(TRIM('Raw_Data (Before)'!I44)),Lookup_Tables!$G$5:$G$9,0)),"UNMAPPED")</f>
        <v>Active</v>
      </c>
      <c r="M44" s="7" t="str">
        <f aca="false">IF(COUNTIF('Raw_Data (Before)'!$A$5:$A$424,A44)&gt;1,"YES","No")</f>
        <v>No</v>
      </c>
      <c r="N44" s="7" t="str">
        <f aca="false">IF(OR(C44="UNMAPPED",D44="UNMAPPED",F44="No",H44="No",J44="No",K44="No",L44="UNMAPPED",M44="YES"),"NEEDS REVIEW","OK")</f>
        <v>OK</v>
      </c>
    </row>
    <row r="45" customFormat="false" ht="15" hidden="false" customHeight="false" outlineLevel="0" collapsed="false">
      <c r="A45" s="7" t="str">
        <f aca="false">'Raw_Data (Before)'!A45</f>
        <v>EMP0008</v>
      </c>
      <c r="B45" s="7" t="str">
        <f aca="false">PROPER(TRIM('Raw_Data (Before)'!B45))</f>
        <v>Victor Abubakar</v>
      </c>
      <c r="C45" s="7" t="str">
        <f aca="false">IFERROR(INDEX(Lookup_Tables!$B$5:$B$24,MATCH(UPPER(TRIM('Raw_Data (Before)'!C45)),Lookup_Tables!$A$5:$A$24,0)),"UNMAPPED")</f>
        <v>Customer Service</v>
      </c>
      <c r="D45" s="7" t="str">
        <f aca="false">IFERROR(INDEX(Lookup_Tables!$E$5:$E$8,MATCH(UPPER(TRIM('Raw_Data (Before)'!D45)),Lookup_Tables!$D$5:$D$8,0)),"UNMAPPED")</f>
        <v>Male</v>
      </c>
      <c r="E45" s="7" t="n">
        <f aca="false">'Raw_Data (Before)'!E45</f>
        <v>38</v>
      </c>
      <c r="F45" s="7" t="str">
        <f aca="false">IF(E45="","No",IF(OR(E45&lt;16,E45&gt;75),"No","Yes"))</f>
        <v>Yes</v>
      </c>
      <c r="G45" s="7" t="n">
        <f aca="false">IFERROR(VALUE(SUBSTITUTE(SUBSTITUTE('Raw_Data (Before)'!F45,"₦",""),",","")),"")</f>
        <v>820710</v>
      </c>
      <c r="H45" s="7" t="str">
        <f aca="false">IF(G45="","No",IF(OR(G45&lt;=0,G45&gt;5000000),"No","Yes"))</f>
        <v>Yes</v>
      </c>
      <c r="I45" s="8" t="n">
        <f aca="false">IFERROR(DATEVALUE('Raw_Data (Before)'!G45),"")</f>
        <v>43661</v>
      </c>
      <c r="J45" s="7" t="str">
        <f aca="false">IF(I45="","No","Yes")</f>
        <v>Yes</v>
      </c>
      <c r="K45" s="7" t="str">
        <f aca="false">IF(OR(ISERROR(FIND("@",'Raw_Data (Before)'!H45)),ISNUMBER(FIND("@@",'Raw_Data (Before)'!H45)),ISNUMBER(FIND(" ",'Raw_Data (Before)'!H45)),ISERROR(FIND(".",'Raw_Data (Before)'!H45,FIND("@",'Raw_Data (Before)'!H45)))),"No","Yes")</f>
        <v>Yes</v>
      </c>
      <c r="L45" s="7" t="str">
        <f aca="false">IFERROR(INDEX(Lookup_Tables!$H$5:$H$9,MATCH(UPPER(TRIM('Raw_Data (Before)'!I45)),Lookup_Tables!$G$5:$G$9,0)),"UNMAPPED")</f>
        <v>Active</v>
      </c>
      <c r="M45" s="7" t="str">
        <f aca="false">IF(COUNTIF('Raw_Data (Before)'!$A$5:$A$424,A45)&gt;1,"YES","No")</f>
        <v>No</v>
      </c>
      <c r="N45" s="7" t="str">
        <f aca="false">IF(OR(C45="UNMAPPED",D45="UNMAPPED",F45="No",H45="No",J45="No",K45="No",L45="UNMAPPED",M45="YES"),"NEEDS REVIEW","OK")</f>
        <v>OK</v>
      </c>
    </row>
    <row r="46" customFormat="false" ht="15" hidden="false" customHeight="false" outlineLevel="0" collapsed="false">
      <c r="A46" s="7" t="str">
        <f aca="false">'Raw_Data (Before)'!A46</f>
        <v>EMP0107</v>
      </c>
      <c r="B46" s="7" t="str">
        <f aca="false">PROPER(TRIM('Raw_Data (Before)'!B46))</f>
        <v>Joy Abubakar</v>
      </c>
      <c r="C46" s="7" t="str">
        <f aca="false">IFERROR(INDEX(Lookup_Tables!$B$5:$B$24,MATCH(UPPER(TRIM('Raw_Data (Before)'!C46)),Lookup_Tables!$A$5:$A$24,0)),"UNMAPPED")</f>
        <v>Marketing</v>
      </c>
      <c r="D46" s="7" t="str">
        <f aca="false">IFERROR(INDEX(Lookup_Tables!$E$5:$E$8,MATCH(UPPER(TRIM('Raw_Data (Before)'!D46)),Lookup_Tables!$D$5:$D$8,0)),"UNMAPPED")</f>
        <v>Female</v>
      </c>
      <c r="E46" s="7" t="n">
        <f aca="false">'Raw_Data (Before)'!E46</f>
        <v>41</v>
      </c>
      <c r="F46" s="7" t="str">
        <f aca="false">IF(E46="","No",IF(OR(E46&lt;16,E46&gt;75),"No","Yes"))</f>
        <v>Yes</v>
      </c>
      <c r="G46" s="7" t="n">
        <f aca="false">IFERROR(VALUE(SUBSTITUTE(SUBSTITUTE('Raw_Data (Before)'!F46,"₦",""),",","")),"")</f>
        <v>582844</v>
      </c>
      <c r="H46" s="7" t="str">
        <f aca="false">IF(G46="","No",IF(OR(G46&lt;=0,G46&gt;5000000),"No","Yes"))</f>
        <v>Yes</v>
      </c>
      <c r="I46" s="8" t="n">
        <f aca="false">IFERROR(DATEVALUE('Raw_Data (Before)'!G46),"")</f>
        <v>44713</v>
      </c>
      <c r="J46" s="7" t="str">
        <f aca="false">IF(I46="","No","Yes")</f>
        <v>Yes</v>
      </c>
      <c r="K46" s="7" t="str">
        <f aca="false">IF(OR(ISERROR(FIND("@",'Raw_Data (Before)'!H46)),ISNUMBER(FIND("@@",'Raw_Data (Before)'!H46)),ISNUMBER(FIND(" ",'Raw_Data (Before)'!H46)),ISERROR(FIND(".",'Raw_Data (Before)'!H46,FIND("@",'Raw_Data (Before)'!H46)))),"No","Yes")</f>
        <v>Yes</v>
      </c>
      <c r="L46" s="7" t="str">
        <f aca="false">IFERROR(INDEX(Lookup_Tables!$H$5:$H$9,MATCH(UPPER(TRIM('Raw_Data (Before)'!I46)),Lookup_Tables!$G$5:$G$9,0)),"UNMAPPED")</f>
        <v>Active</v>
      </c>
      <c r="M46" s="7" t="str">
        <f aca="false">IF(COUNTIF('Raw_Data (Before)'!$A$5:$A$424,A46)&gt;1,"YES","No")</f>
        <v>No</v>
      </c>
      <c r="N46" s="7" t="str">
        <f aca="false">IF(OR(C46="UNMAPPED",D46="UNMAPPED",F46="No",H46="No",J46="No",K46="No",L46="UNMAPPED",M46="YES"),"NEEDS REVIEW","OK")</f>
        <v>OK</v>
      </c>
    </row>
    <row r="47" customFormat="false" ht="15" hidden="false" customHeight="false" outlineLevel="0" collapsed="false">
      <c r="A47" s="7" t="str">
        <f aca="false">'Raw_Data (Before)'!A47</f>
        <v>EMP0113</v>
      </c>
      <c r="B47" s="7" t="str">
        <f aca="false">PROPER(TRIM('Raw_Data (Before)'!B47))</f>
        <v>Amaka Nnamdi</v>
      </c>
      <c r="C47" s="7" t="str">
        <f aca="false">IFERROR(INDEX(Lookup_Tables!$B$5:$B$24,MATCH(UPPER(TRIM('Raw_Data (Before)'!C47)),Lookup_Tables!$A$5:$A$24,0)),"UNMAPPED")</f>
        <v>HR</v>
      </c>
      <c r="D47" s="7" t="str">
        <f aca="false">IFERROR(INDEX(Lookup_Tables!$E$5:$E$8,MATCH(UPPER(TRIM('Raw_Data (Before)'!D47)),Lookup_Tables!$D$5:$D$8,0)),"UNMAPPED")</f>
        <v>Male</v>
      </c>
      <c r="E47" s="7" t="n">
        <f aca="false">'Raw_Data (Before)'!E47</f>
        <v>44</v>
      </c>
      <c r="F47" s="7" t="str">
        <f aca="false">IF(E47="","No",IF(OR(E47&lt;16,E47&gt;75),"No","Yes"))</f>
        <v>Yes</v>
      </c>
      <c r="G47" s="7" t="n">
        <f aca="false">IFERROR(VALUE(SUBSTITUTE(SUBSTITUTE('Raw_Data (Before)'!F47,"₦",""),",","")),"")</f>
        <v>437890</v>
      </c>
      <c r="H47" s="7" t="str">
        <f aca="false">IF(G47="","No",IF(OR(G47&lt;=0,G47&gt;5000000),"No","Yes"))</f>
        <v>Yes</v>
      </c>
      <c r="I47" s="8" t="n">
        <f aca="false">IFERROR(DATEVALUE('Raw_Data (Before)'!G47),"")</f>
        <v>45778</v>
      </c>
      <c r="J47" s="7" t="str">
        <f aca="false">IF(I47="","No","Yes")</f>
        <v>Yes</v>
      </c>
      <c r="K47" s="7" t="str">
        <f aca="false">IF(OR(ISERROR(FIND("@",'Raw_Data (Before)'!H47)),ISNUMBER(FIND("@@",'Raw_Data (Before)'!H47)),ISNUMBER(FIND(" ",'Raw_Data (Before)'!H47)),ISERROR(FIND(".",'Raw_Data (Before)'!H47,FIND("@",'Raw_Data (Before)'!H47)))),"No","Yes")</f>
        <v>Yes</v>
      </c>
      <c r="L47" s="7" t="str">
        <f aca="false">IFERROR(INDEX(Lookup_Tables!$H$5:$H$9,MATCH(UPPER(TRIM('Raw_Data (Before)'!I47)),Lookup_Tables!$G$5:$G$9,0)),"UNMAPPED")</f>
        <v>Active</v>
      </c>
      <c r="M47" s="7" t="str">
        <f aca="false">IF(COUNTIF('Raw_Data (Before)'!$A$5:$A$424,A47)&gt;1,"YES","No")</f>
        <v>YES</v>
      </c>
      <c r="N47" s="7" t="str">
        <f aca="false">IF(OR(C47="UNMAPPED",D47="UNMAPPED",F47="No",H47="No",J47="No",K47="No",L47="UNMAPPED",M47="YES"),"NEEDS REVIEW","OK")</f>
        <v>NEEDS REVIEW</v>
      </c>
    </row>
    <row r="48" customFormat="false" ht="15" hidden="false" customHeight="false" outlineLevel="0" collapsed="false">
      <c r="A48" s="7" t="str">
        <f aca="false">'Raw_Data (Before)'!A48</f>
        <v>EMP0020</v>
      </c>
      <c r="B48" s="7" t="str">
        <f aca="false">PROPER(TRIM('Raw_Data (Before)'!B48))</f>
        <v>Hauwa Bello</v>
      </c>
      <c r="C48" s="7" t="str">
        <f aca="false">IFERROR(INDEX(Lookup_Tables!$B$5:$B$24,MATCH(UPPER(TRIM('Raw_Data (Before)'!C48)),Lookup_Tables!$A$5:$A$24,0)),"UNMAPPED")</f>
        <v>IT</v>
      </c>
      <c r="D48" s="7" t="str">
        <f aca="false">IFERROR(INDEX(Lookup_Tables!$E$5:$E$8,MATCH(UPPER(TRIM('Raw_Data (Before)'!D48)),Lookup_Tables!$D$5:$D$8,0)),"UNMAPPED")</f>
        <v>Male</v>
      </c>
      <c r="E48" s="7" t="n">
        <f aca="false">'Raw_Data (Before)'!E48</f>
        <v>60</v>
      </c>
      <c r="F48" s="7" t="str">
        <f aca="false">IF(E48="","No",IF(OR(E48&lt;16,E48&gt;75),"No","Yes"))</f>
        <v>Yes</v>
      </c>
      <c r="G48" s="7" t="n">
        <f aca="false">IFERROR(VALUE(SUBSTITUTE(SUBSTITUTE('Raw_Data (Before)'!F48,"₦",""),",","")),"")</f>
        <v>84042000</v>
      </c>
      <c r="H48" s="7" t="str">
        <f aca="false">IF(G48="","No",IF(OR(G48&lt;=0,G48&gt;5000000),"No","Yes"))</f>
        <v>No</v>
      </c>
      <c r="I48" s="8" t="n">
        <f aca="false">IFERROR(DATEVALUE('Raw_Data (Before)'!G48),"")</f>
        <v>43625</v>
      </c>
      <c r="J48" s="7" t="str">
        <f aca="false">IF(I48="","No","Yes")</f>
        <v>Yes</v>
      </c>
      <c r="K48" s="7" t="str">
        <f aca="false">IF(OR(ISERROR(FIND("@",'Raw_Data (Before)'!H48)),ISNUMBER(FIND("@@",'Raw_Data (Before)'!H48)),ISNUMBER(FIND(" ",'Raw_Data (Before)'!H48)),ISERROR(FIND(".",'Raw_Data (Before)'!H48,FIND("@",'Raw_Data (Before)'!H48)))),"No","Yes")</f>
        <v>No</v>
      </c>
      <c r="L48" s="7" t="str">
        <f aca="false">IFERROR(INDEX(Lookup_Tables!$H$5:$H$9,MATCH(UPPER(TRIM('Raw_Data (Before)'!I48)),Lookup_Tables!$G$5:$G$9,0)),"UNMAPPED")</f>
        <v>Active</v>
      </c>
      <c r="M48" s="7" t="str">
        <f aca="false">IF(COUNTIF('Raw_Data (Before)'!$A$5:$A$424,A48)&gt;1,"YES","No")</f>
        <v>No</v>
      </c>
      <c r="N48" s="7" t="str">
        <f aca="false">IF(OR(C48="UNMAPPED",D48="UNMAPPED",F48="No",H48="No",J48="No",K48="No",L48="UNMAPPED",M48="YES"),"NEEDS REVIEW","OK")</f>
        <v>NEEDS REVIEW</v>
      </c>
    </row>
    <row r="49" customFormat="false" ht="15" hidden="false" customHeight="false" outlineLevel="0" collapsed="false">
      <c r="A49" s="7" t="str">
        <f aca="false">'Raw_Data (Before)'!A49</f>
        <v>EMP0292</v>
      </c>
      <c r="B49" s="7" t="str">
        <f aca="false">PROPER(TRIM('Raw_Data (Before)'!B49))</f>
        <v>Fatima Balogun</v>
      </c>
      <c r="C49" s="7" t="str">
        <f aca="false">IFERROR(INDEX(Lookup_Tables!$B$5:$B$24,MATCH(UPPER(TRIM('Raw_Data (Before)'!C49)),Lookup_Tables!$A$5:$A$24,0)),"UNMAPPED")</f>
        <v>Customer Service</v>
      </c>
      <c r="D49" s="7" t="str">
        <f aca="false">IFERROR(INDEX(Lookup_Tables!$E$5:$E$8,MATCH(UPPER(TRIM('Raw_Data (Before)'!D49)),Lookup_Tables!$D$5:$D$8,0)),"UNMAPPED")</f>
        <v>Male</v>
      </c>
      <c r="E49" s="7" t="n">
        <f aca="false">'Raw_Data (Before)'!E49</f>
        <v>40</v>
      </c>
      <c r="F49" s="7" t="str">
        <f aca="false">IF(E49="","No",IF(OR(E49&lt;16,E49&gt;75),"No","Yes"))</f>
        <v>Yes</v>
      </c>
      <c r="G49" s="7" t="n">
        <f aca="false">IFERROR(VALUE(SUBSTITUTE(SUBSTITUTE('Raw_Data (Before)'!F49,"₦",""),",","")),"")</f>
        <v>445411</v>
      </c>
      <c r="H49" s="7" t="str">
        <f aca="false">IF(G49="","No",IF(OR(G49&lt;=0,G49&gt;5000000),"No","Yes"))</f>
        <v>Yes</v>
      </c>
      <c r="I49" s="8" t="n">
        <f aca="false">IFERROR(DATEVALUE('Raw_Data (Before)'!G49),"")</f>
        <v>44147</v>
      </c>
      <c r="J49" s="7" t="str">
        <f aca="false">IF(I49="","No","Yes")</f>
        <v>Yes</v>
      </c>
      <c r="K49" s="7" t="str">
        <f aca="false">IF(OR(ISERROR(FIND("@",'Raw_Data (Before)'!H49)),ISNUMBER(FIND("@@",'Raw_Data (Before)'!H49)),ISNUMBER(FIND(" ",'Raw_Data (Before)'!H49)),ISERROR(FIND(".",'Raw_Data (Before)'!H49,FIND("@",'Raw_Data (Before)'!H49)))),"No","Yes")</f>
        <v>Yes</v>
      </c>
      <c r="L49" s="7" t="str">
        <f aca="false">IFERROR(INDEX(Lookup_Tables!$H$5:$H$9,MATCH(UPPER(TRIM('Raw_Data (Before)'!I49)),Lookup_Tables!$G$5:$G$9,0)),"UNMAPPED")</f>
        <v>Inactive</v>
      </c>
      <c r="M49" s="7" t="str">
        <f aca="false">IF(COUNTIF('Raw_Data (Before)'!$A$5:$A$424,A49)&gt;1,"YES","No")</f>
        <v>No</v>
      </c>
      <c r="N49" s="7" t="str">
        <f aca="false">IF(OR(C49="UNMAPPED",D49="UNMAPPED",F49="No",H49="No",J49="No",K49="No",L49="UNMAPPED",M49="YES"),"NEEDS REVIEW","OK")</f>
        <v>OK</v>
      </c>
    </row>
    <row r="50" customFormat="false" ht="15" hidden="false" customHeight="false" outlineLevel="0" collapsed="false">
      <c r="A50" s="7" t="str">
        <f aca="false">'Raw_Data (Before)'!A50</f>
        <v>EMP0171</v>
      </c>
      <c r="B50" s="7" t="str">
        <f aca="false">PROPER(TRIM('Raw_Data (Before)'!B50))</f>
        <v>Fatima Okafor</v>
      </c>
      <c r="C50" s="7" t="str">
        <f aca="false">IFERROR(INDEX(Lookup_Tables!$B$5:$B$24,MATCH(UPPER(TRIM('Raw_Data (Before)'!C50)),Lookup_Tables!$A$5:$A$24,0)),"UNMAPPED")</f>
        <v>Finance</v>
      </c>
      <c r="D50" s="7" t="str">
        <f aca="false">IFERROR(INDEX(Lookup_Tables!$E$5:$E$8,MATCH(UPPER(TRIM('Raw_Data (Before)'!D50)),Lookup_Tables!$D$5:$D$8,0)),"UNMAPPED")</f>
        <v>Male</v>
      </c>
      <c r="E50" s="7" t="n">
        <f aca="false">'Raw_Data (Before)'!E50</f>
        <v>46</v>
      </c>
      <c r="F50" s="7" t="str">
        <f aca="false">IF(E50="","No",IF(OR(E50&lt;16,E50&gt;75),"No","Yes"))</f>
        <v>Yes</v>
      </c>
      <c r="G50" s="7" t="n">
        <f aca="false">IFERROR(VALUE(SUBSTITUTE(SUBSTITUTE('Raw_Data (Before)'!F50,"₦",""),",","")),"")</f>
        <v>475201</v>
      </c>
      <c r="H50" s="7" t="str">
        <f aca="false">IF(G50="","No",IF(OR(G50&lt;=0,G50&gt;5000000),"No","Yes"))</f>
        <v>Yes</v>
      </c>
      <c r="I50" s="8" t="n">
        <f aca="false">IFERROR(DATEVALUE('Raw_Data (Before)'!G50),"")</f>
        <v>43753</v>
      </c>
      <c r="J50" s="7" t="str">
        <f aca="false">IF(I50="","No","Yes")</f>
        <v>Yes</v>
      </c>
      <c r="K50" s="7" t="str">
        <f aca="false">IF(OR(ISERROR(FIND("@",'Raw_Data (Before)'!H50)),ISNUMBER(FIND("@@",'Raw_Data (Before)'!H50)),ISNUMBER(FIND(" ",'Raw_Data (Before)'!H50)),ISERROR(FIND(".",'Raw_Data (Before)'!H50,FIND("@",'Raw_Data (Before)'!H50)))),"No","Yes")</f>
        <v>Yes</v>
      </c>
      <c r="L50" s="7" t="str">
        <f aca="false">IFERROR(INDEX(Lookup_Tables!$H$5:$H$9,MATCH(UPPER(TRIM('Raw_Data (Before)'!I50)),Lookup_Tables!$G$5:$G$9,0)),"UNMAPPED")</f>
        <v>Active</v>
      </c>
      <c r="M50" s="7" t="str">
        <f aca="false">IF(COUNTIF('Raw_Data (Before)'!$A$5:$A$424,A50)&gt;1,"YES","No")</f>
        <v>No</v>
      </c>
      <c r="N50" s="7" t="str">
        <f aca="false">IF(OR(C50="UNMAPPED",D50="UNMAPPED",F50="No",H50="No",J50="No",K50="No",L50="UNMAPPED",M50="YES"),"NEEDS REVIEW","OK")</f>
        <v>OK</v>
      </c>
    </row>
    <row r="51" customFormat="false" ht="15" hidden="false" customHeight="false" outlineLevel="0" collapsed="false">
      <c r="A51" s="7" t="str">
        <f aca="false">'Raw_Data (Before)'!A51</f>
        <v>EMP0323</v>
      </c>
      <c r="B51" s="7" t="str">
        <f aca="false">PROPER(TRIM('Raw_Data (Before)'!B51))</f>
        <v>Bisi Bello</v>
      </c>
      <c r="C51" s="7" t="str">
        <f aca="false">IFERROR(INDEX(Lookup_Tables!$B$5:$B$24,MATCH(UPPER(TRIM('Raw_Data (Before)'!C51)),Lookup_Tables!$A$5:$A$24,0)),"UNMAPPED")</f>
        <v>Customer Service</v>
      </c>
      <c r="D51" s="7" t="str">
        <f aca="false">IFERROR(INDEX(Lookup_Tables!$E$5:$E$8,MATCH(UPPER(TRIM('Raw_Data (Before)'!D51)),Lookup_Tables!$D$5:$D$8,0)),"UNMAPPED")</f>
        <v>Female</v>
      </c>
      <c r="E51" s="7" t="n">
        <f aca="false">'Raw_Data (Before)'!E51</f>
        <v>27</v>
      </c>
      <c r="F51" s="7" t="str">
        <f aca="false">IF(E51="","No",IF(OR(E51&lt;16,E51&gt;75),"No","Yes"))</f>
        <v>Yes</v>
      </c>
      <c r="G51" s="7" t="n">
        <f aca="false">IFERROR(VALUE(SUBSTITUTE(SUBSTITUTE('Raw_Data (Before)'!F51,"₦",""),",","")),"")</f>
        <v>148825</v>
      </c>
      <c r="H51" s="7" t="str">
        <f aca="false">IF(G51="","No",IF(OR(G51&lt;=0,G51&gt;5000000),"No","Yes"))</f>
        <v>Yes</v>
      </c>
      <c r="I51" s="8" t="str">
        <f aca="false">IFERROR(DATEVALUE('Raw_Data (Before)'!G51),"")</f>
        <v/>
      </c>
      <c r="J51" s="7" t="str">
        <f aca="false">IF(I51="","No","Yes")</f>
        <v>No</v>
      </c>
      <c r="K51" s="7" t="str">
        <f aca="false">IF(OR(ISERROR(FIND("@",'Raw_Data (Before)'!H51)),ISNUMBER(FIND("@@",'Raw_Data (Before)'!H51)),ISNUMBER(FIND(" ",'Raw_Data (Before)'!H51)),ISERROR(FIND(".",'Raw_Data (Before)'!H51,FIND("@",'Raw_Data (Before)'!H51)))),"No","Yes")</f>
        <v>Yes</v>
      </c>
      <c r="L51" s="7" t="str">
        <f aca="false">IFERROR(INDEX(Lookup_Tables!$H$5:$H$9,MATCH(UPPER(TRIM('Raw_Data (Before)'!I51)),Lookup_Tables!$G$5:$G$9,0)),"UNMAPPED")</f>
        <v>Active</v>
      </c>
      <c r="M51" s="7" t="str">
        <f aca="false">IF(COUNTIF('Raw_Data (Before)'!$A$5:$A$424,A51)&gt;1,"YES","No")</f>
        <v>No</v>
      </c>
      <c r="N51" s="7" t="str">
        <f aca="false">IF(OR(C51="UNMAPPED",D51="UNMAPPED",F51="No",H51="No",J51="No",K51="No",L51="UNMAPPED",M51="YES"),"NEEDS REVIEW","OK")</f>
        <v>NEEDS REVIEW</v>
      </c>
    </row>
    <row r="52" customFormat="false" ht="15" hidden="false" customHeight="false" outlineLevel="0" collapsed="false">
      <c r="A52" s="7" t="str">
        <f aca="false">'Raw_Data (Before)'!A52</f>
        <v>EMP0006</v>
      </c>
      <c r="B52" s="7" t="str">
        <f aca="false">PROPER(TRIM('Raw_Data (Before)'!B52))</f>
        <v>Ola Umeh</v>
      </c>
      <c r="C52" s="7" t="str">
        <f aca="false">IFERROR(INDEX(Lookup_Tables!$B$5:$B$24,MATCH(UPPER(TRIM('Raw_Data (Before)'!C52)),Lookup_Tables!$A$5:$A$24,0)),"UNMAPPED")</f>
        <v>Marketing</v>
      </c>
      <c r="D52" s="7" t="str">
        <f aca="false">IFERROR(INDEX(Lookup_Tables!$E$5:$E$8,MATCH(UPPER(TRIM('Raw_Data (Before)'!D52)),Lookup_Tables!$D$5:$D$8,0)),"UNMAPPED")</f>
        <v>Female</v>
      </c>
      <c r="E52" s="7" t="n">
        <f aca="false">'Raw_Data (Before)'!E52</f>
        <v>25</v>
      </c>
      <c r="F52" s="7" t="str">
        <f aca="false">IF(E52="","No",IF(OR(E52&lt;16,E52&gt;75),"No","Yes"))</f>
        <v>Yes</v>
      </c>
      <c r="G52" s="7" t="n">
        <f aca="false">IFERROR(VALUE(SUBSTITUTE(SUBSTITUTE('Raw_Data (Before)'!F52,"₦",""),",","")),"")</f>
        <v>143616</v>
      </c>
      <c r="H52" s="7" t="str">
        <f aca="false">IF(G52="","No",IF(OR(G52&lt;=0,G52&gt;5000000),"No","Yes"))</f>
        <v>Yes</v>
      </c>
      <c r="I52" s="8" t="n">
        <f aca="false">IFERROR(DATEVALUE('Raw_Data (Before)'!G52),"")</f>
        <v>43484</v>
      </c>
      <c r="J52" s="7" t="str">
        <f aca="false">IF(I52="","No","Yes")</f>
        <v>Yes</v>
      </c>
      <c r="K52" s="7" t="str">
        <f aca="false">IF(OR(ISERROR(FIND("@",'Raw_Data (Before)'!H52)),ISNUMBER(FIND("@@",'Raw_Data (Before)'!H52)),ISNUMBER(FIND(" ",'Raw_Data (Before)'!H52)),ISERROR(FIND(".",'Raw_Data (Before)'!H52,FIND("@",'Raw_Data (Before)'!H52)))),"No","Yes")</f>
        <v>Yes</v>
      </c>
      <c r="L52" s="7" t="str">
        <f aca="false">IFERROR(INDEX(Lookup_Tables!$H$5:$H$9,MATCH(UPPER(TRIM('Raw_Data (Before)'!I52)),Lookup_Tables!$G$5:$G$9,0)),"UNMAPPED")</f>
        <v>Active</v>
      </c>
      <c r="M52" s="7" t="str">
        <f aca="false">IF(COUNTIF('Raw_Data (Before)'!$A$5:$A$424,A52)&gt;1,"YES","No")</f>
        <v>No</v>
      </c>
      <c r="N52" s="7" t="str">
        <f aca="false">IF(OR(C52="UNMAPPED",D52="UNMAPPED",F52="No",H52="No",J52="No",K52="No",L52="UNMAPPED",M52="YES"),"NEEDS REVIEW","OK")</f>
        <v>OK</v>
      </c>
    </row>
    <row r="53" customFormat="false" ht="15" hidden="false" customHeight="false" outlineLevel="0" collapsed="false">
      <c r="A53" s="7" t="str">
        <f aca="false">'Raw_Data (Before)'!A53</f>
        <v>EMP0319</v>
      </c>
      <c r="B53" s="7" t="str">
        <f aca="false">PROPER(TRIM('Raw_Data (Before)'!B53))</f>
        <v>Blessing Ajayi</v>
      </c>
      <c r="C53" s="7" t="str">
        <f aca="false">IFERROR(INDEX(Lookup_Tables!$B$5:$B$24,MATCH(UPPER(TRIM('Raw_Data (Before)'!C53)),Lookup_Tables!$A$5:$A$24,0)),"UNMAPPED")</f>
        <v>Marketing</v>
      </c>
      <c r="D53" s="7" t="str">
        <f aca="false">IFERROR(INDEX(Lookup_Tables!$E$5:$E$8,MATCH(UPPER(TRIM('Raw_Data (Before)'!D53)),Lookup_Tables!$D$5:$D$8,0)),"UNMAPPED")</f>
        <v>Male</v>
      </c>
      <c r="E53" s="7" t="n">
        <f aca="false">'Raw_Data (Before)'!E53</f>
        <v>25</v>
      </c>
      <c r="F53" s="7" t="str">
        <f aca="false">IF(E53="","No",IF(OR(E53&lt;16,E53&gt;75),"No","Yes"))</f>
        <v>Yes</v>
      </c>
      <c r="G53" s="7" t="n">
        <f aca="false">IFERROR(VALUE(SUBSTITUTE(SUBSTITUTE('Raw_Data (Before)'!F53,"₦",""),",","")),"")</f>
        <v>710326</v>
      </c>
      <c r="H53" s="7" t="str">
        <f aca="false">IF(G53="","No",IF(OR(G53&lt;=0,G53&gt;5000000),"No","Yes"))</f>
        <v>Yes</v>
      </c>
      <c r="I53" s="8" t="n">
        <f aca="false">IFERROR(DATEVALUE('Raw_Data (Before)'!G53),"")</f>
        <v>45758</v>
      </c>
      <c r="J53" s="7" t="str">
        <f aca="false">IF(I53="","No","Yes")</f>
        <v>Yes</v>
      </c>
      <c r="K53" s="7" t="str">
        <f aca="false">IF(OR(ISERROR(FIND("@",'Raw_Data (Before)'!H53)),ISNUMBER(FIND("@@",'Raw_Data (Before)'!H53)),ISNUMBER(FIND(" ",'Raw_Data (Before)'!H53)),ISERROR(FIND(".",'Raw_Data (Before)'!H53,FIND("@",'Raw_Data (Before)'!H53)))),"No","Yes")</f>
        <v>Yes</v>
      </c>
      <c r="L53" s="7" t="str">
        <f aca="false">IFERROR(INDEX(Lookup_Tables!$H$5:$H$9,MATCH(UPPER(TRIM('Raw_Data (Before)'!I53)),Lookup_Tables!$G$5:$G$9,0)),"UNMAPPED")</f>
        <v>Active</v>
      </c>
      <c r="M53" s="7" t="str">
        <f aca="false">IF(COUNTIF('Raw_Data (Before)'!$A$5:$A$424,A53)&gt;1,"YES","No")</f>
        <v>No</v>
      </c>
      <c r="N53" s="7" t="str">
        <f aca="false">IF(OR(C53="UNMAPPED",D53="UNMAPPED",F53="No",H53="No",J53="No",K53="No",L53="UNMAPPED",M53="YES"),"NEEDS REVIEW","OK")</f>
        <v>OK</v>
      </c>
    </row>
    <row r="54" customFormat="false" ht="15" hidden="false" customHeight="false" outlineLevel="0" collapsed="false">
      <c r="A54" s="7" t="str">
        <f aca="false">'Raw_Data (Before)'!A54</f>
        <v>EMP0004</v>
      </c>
      <c r="B54" s="7" t="str">
        <f aca="false">PROPER(TRIM('Raw_Data (Before)'!B54))</f>
        <v>Bisi Ogundipe</v>
      </c>
      <c r="C54" s="7" t="str">
        <f aca="false">IFERROR(INDEX(Lookup_Tables!$B$5:$B$24,MATCH(UPPER(TRIM('Raw_Data (Before)'!C54)),Lookup_Tables!$A$5:$A$24,0)),"UNMAPPED")</f>
        <v>Finance</v>
      </c>
      <c r="D54" s="7" t="str">
        <f aca="false">IFERROR(INDEX(Lookup_Tables!$E$5:$E$8,MATCH(UPPER(TRIM('Raw_Data (Before)'!D54)),Lookup_Tables!$D$5:$D$8,0)),"UNMAPPED")</f>
        <v>Female</v>
      </c>
      <c r="E54" s="7" t="n">
        <f aca="false">'Raw_Data (Before)'!E54</f>
        <v>32</v>
      </c>
      <c r="F54" s="7" t="str">
        <f aca="false">IF(E54="","No",IF(OR(E54&lt;16,E54&gt;75),"No","Yes"))</f>
        <v>Yes</v>
      </c>
      <c r="G54" s="7" t="n">
        <f aca="false">IFERROR(VALUE(SUBSTITUTE(SUBSTITUTE('Raw_Data (Before)'!F54,"₦",""),",","")),"")</f>
        <v>812948</v>
      </c>
      <c r="H54" s="7" t="str">
        <f aca="false">IF(G54="","No",IF(OR(G54&lt;=0,G54&gt;5000000),"No","Yes"))</f>
        <v>Yes</v>
      </c>
      <c r="I54" s="8" t="n">
        <f aca="false">IFERROR(DATEVALUE('Raw_Data (Before)'!G54),"")</f>
        <v>44582</v>
      </c>
      <c r="J54" s="7" t="str">
        <f aca="false">IF(I54="","No","Yes")</f>
        <v>Yes</v>
      </c>
      <c r="K54" s="7" t="str">
        <f aca="false">IF(OR(ISERROR(FIND("@",'Raw_Data (Before)'!H54)),ISNUMBER(FIND("@@",'Raw_Data (Before)'!H54)),ISNUMBER(FIND(" ",'Raw_Data (Before)'!H54)),ISERROR(FIND(".",'Raw_Data (Before)'!H54,FIND("@",'Raw_Data (Before)'!H54)))),"No","Yes")</f>
        <v>Yes</v>
      </c>
      <c r="L54" s="7" t="str">
        <f aca="false">IFERROR(INDEX(Lookup_Tables!$H$5:$H$9,MATCH(UPPER(TRIM('Raw_Data (Before)'!I54)),Lookup_Tables!$G$5:$G$9,0)),"UNMAPPED")</f>
        <v>Active</v>
      </c>
      <c r="M54" s="7" t="str">
        <f aca="false">IF(COUNTIF('Raw_Data (Before)'!$A$5:$A$424,A54)&gt;1,"YES","No")</f>
        <v>No</v>
      </c>
      <c r="N54" s="7" t="str">
        <f aca="false">IF(OR(C54="UNMAPPED",D54="UNMAPPED",F54="No",H54="No",J54="No",K54="No",L54="UNMAPPED",M54="YES"),"NEEDS REVIEW","OK")</f>
        <v>OK</v>
      </c>
    </row>
    <row r="55" customFormat="false" ht="15" hidden="false" customHeight="false" outlineLevel="0" collapsed="false">
      <c r="A55" s="7" t="str">
        <f aca="false">'Raw_Data (Before)'!A55</f>
        <v>EMP0345</v>
      </c>
      <c r="B55" s="7" t="str">
        <f aca="false">PROPER(TRIM('Raw_Data (Before)'!B55))</f>
        <v>Daniel Adeyemi</v>
      </c>
      <c r="C55" s="7" t="str">
        <f aca="false">IFERROR(INDEX(Lookup_Tables!$B$5:$B$24,MATCH(UPPER(TRIM('Raw_Data (Before)'!C55)),Lookup_Tables!$A$5:$A$24,0)),"UNMAPPED")</f>
        <v>Sales</v>
      </c>
      <c r="D55" s="7" t="str">
        <f aca="false">IFERROR(INDEX(Lookup_Tables!$E$5:$E$8,MATCH(UPPER(TRIM('Raw_Data (Before)'!D55)),Lookup_Tables!$D$5:$D$8,0)),"UNMAPPED")</f>
        <v>Female</v>
      </c>
      <c r="E55" s="7" t="n">
        <f aca="false">'Raw_Data (Before)'!E55</f>
        <v>32</v>
      </c>
      <c r="F55" s="7" t="str">
        <f aca="false">IF(E55="","No",IF(OR(E55&lt;16,E55&gt;75),"No","Yes"))</f>
        <v>Yes</v>
      </c>
      <c r="G55" s="7" t="n">
        <f aca="false">IFERROR(VALUE(SUBSTITUTE(SUBSTITUTE('Raw_Data (Before)'!F55,"₦",""),",","")),"")</f>
        <v>323433</v>
      </c>
      <c r="H55" s="7" t="str">
        <f aca="false">IF(G55="","No",IF(OR(G55&lt;=0,G55&gt;5000000),"No","Yes"))</f>
        <v>Yes</v>
      </c>
      <c r="I55" s="8" t="n">
        <f aca="false">IFERROR(DATEVALUE('Raw_Data (Before)'!G55),"")</f>
        <v>45306</v>
      </c>
      <c r="J55" s="7" t="str">
        <f aca="false">IF(I55="","No","Yes")</f>
        <v>Yes</v>
      </c>
      <c r="K55" s="7" t="str">
        <f aca="false">IF(OR(ISERROR(FIND("@",'Raw_Data (Before)'!H55)),ISNUMBER(FIND("@@",'Raw_Data (Before)'!H55)),ISNUMBER(FIND(" ",'Raw_Data (Before)'!H55)),ISERROR(FIND(".",'Raw_Data (Before)'!H55,FIND("@",'Raw_Data (Before)'!H55)))),"No","Yes")</f>
        <v>Yes</v>
      </c>
      <c r="L55" s="7" t="str">
        <f aca="false">IFERROR(INDEX(Lookup_Tables!$H$5:$H$9,MATCH(UPPER(TRIM('Raw_Data (Before)'!I55)),Lookup_Tables!$G$5:$G$9,0)),"UNMAPPED")</f>
        <v>Active</v>
      </c>
      <c r="M55" s="7" t="str">
        <f aca="false">IF(COUNTIF('Raw_Data (Before)'!$A$5:$A$424,A55)&gt;1,"YES","No")</f>
        <v>No</v>
      </c>
      <c r="N55" s="7" t="str">
        <f aca="false">IF(OR(C55="UNMAPPED",D55="UNMAPPED",F55="No",H55="No",J55="No",K55="No",L55="UNMAPPED",M55="YES"),"NEEDS REVIEW","OK")</f>
        <v>OK</v>
      </c>
    </row>
    <row r="56" customFormat="false" ht="15" hidden="false" customHeight="false" outlineLevel="0" collapsed="false">
      <c r="A56" s="7" t="str">
        <f aca="false">'Raw_Data (Before)'!A56</f>
        <v>EMP0175</v>
      </c>
      <c r="B56" s="7" t="str">
        <f aca="false">PROPER(TRIM('Raw_Data (Before)'!B56))</f>
        <v>Ahmed Chukwu</v>
      </c>
      <c r="C56" s="7" t="str">
        <f aca="false">IFERROR(INDEX(Lookup_Tables!$B$5:$B$24,MATCH(UPPER(TRIM('Raw_Data (Before)'!C56)),Lookup_Tables!$A$5:$A$24,0)),"UNMAPPED")</f>
        <v>HR</v>
      </c>
      <c r="D56" s="7" t="str">
        <f aca="false">IFERROR(INDEX(Lookup_Tables!$E$5:$E$8,MATCH(UPPER(TRIM('Raw_Data (Before)'!D56)),Lookup_Tables!$D$5:$D$8,0)),"UNMAPPED")</f>
        <v>Male</v>
      </c>
      <c r="E56" s="7" t="n">
        <f aca="false">'Raw_Data (Before)'!E56</f>
        <v>47</v>
      </c>
      <c r="F56" s="7" t="str">
        <f aca="false">IF(E56="","No",IF(OR(E56&lt;16,E56&gt;75),"No","Yes"))</f>
        <v>Yes</v>
      </c>
      <c r="G56" s="7" t="n">
        <f aca="false">IFERROR(VALUE(SUBSTITUTE(SUBSTITUTE('Raw_Data (Before)'!F56,"₦",""),",","")),"")</f>
        <v>106490</v>
      </c>
      <c r="H56" s="7" t="str">
        <f aca="false">IF(G56="","No",IF(OR(G56&lt;=0,G56&gt;5000000),"No","Yes"))</f>
        <v>Yes</v>
      </c>
      <c r="I56" s="8" t="n">
        <f aca="false">IFERROR(DATEVALUE('Raw_Data (Before)'!G56),"")</f>
        <v>45884</v>
      </c>
      <c r="J56" s="7" t="str">
        <f aca="false">IF(I56="","No","Yes")</f>
        <v>Yes</v>
      </c>
      <c r="K56" s="7" t="str">
        <f aca="false">IF(OR(ISERROR(FIND("@",'Raw_Data (Before)'!H56)),ISNUMBER(FIND("@@",'Raw_Data (Before)'!H56)),ISNUMBER(FIND(" ",'Raw_Data (Before)'!H56)),ISERROR(FIND(".",'Raw_Data (Before)'!H56,FIND("@",'Raw_Data (Before)'!H56)))),"No","Yes")</f>
        <v>Yes</v>
      </c>
      <c r="L56" s="7" t="str">
        <f aca="false">IFERROR(INDEX(Lookup_Tables!$H$5:$H$9,MATCH(UPPER(TRIM('Raw_Data (Before)'!I56)),Lookup_Tables!$G$5:$G$9,0)),"UNMAPPED")</f>
        <v>Active</v>
      </c>
      <c r="M56" s="7" t="str">
        <f aca="false">IF(COUNTIF('Raw_Data (Before)'!$A$5:$A$424,A56)&gt;1,"YES","No")</f>
        <v>No</v>
      </c>
      <c r="N56" s="7" t="str">
        <f aca="false">IF(OR(C56="UNMAPPED",D56="UNMAPPED",F56="No",H56="No",J56="No",K56="No",L56="UNMAPPED",M56="YES"),"NEEDS REVIEW","OK")</f>
        <v>OK</v>
      </c>
    </row>
    <row r="57" customFormat="false" ht="15" hidden="false" customHeight="false" outlineLevel="0" collapsed="false">
      <c r="A57" s="7" t="str">
        <f aca="false">'Raw_Data (Before)'!A57</f>
        <v>EMP0194</v>
      </c>
      <c r="B57" s="7" t="str">
        <f aca="false">PROPER(TRIM('Raw_Data (Before)'!B57))</f>
        <v>Comfort Bello</v>
      </c>
      <c r="C57" s="7" t="str">
        <f aca="false">IFERROR(INDEX(Lookup_Tables!$B$5:$B$24,MATCH(UPPER(TRIM('Raw_Data (Before)'!C57)),Lookup_Tables!$A$5:$A$24,0)),"UNMAPPED")</f>
        <v>Customer Service</v>
      </c>
      <c r="D57" s="7" t="str">
        <f aca="false">IFERROR(INDEX(Lookup_Tables!$E$5:$E$8,MATCH(UPPER(TRIM('Raw_Data (Before)'!D57)),Lookup_Tables!$D$5:$D$8,0)),"UNMAPPED")</f>
        <v>Male</v>
      </c>
      <c r="E57" s="7" t="n">
        <f aca="false">'Raw_Data (Before)'!E57</f>
        <v>33</v>
      </c>
      <c r="F57" s="7" t="str">
        <f aca="false">IF(E57="","No",IF(OR(E57&lt;16,E57&gt;75),"No","Yes"))</f>
        <v>Yes</v>
      </c>
      <c r="G57" s="7" t="n">
        <f aca="false">IFERROR(VALUE(SUBSTITUTE(SUBSTITUTE('Raw_Data (Before)'!F57,"₦",""),",","")),"")</f>
        <v>670383</v>
      </c>
      <c r="H57" s="7" t="str">
        <f aca="false">IF(G57="","No",IF(OR(G57&lt;=0,G57&gt;5000000),"No","Yes"))</f>
        <v>Yes</v>
      </c>
      <c r="I57" s="8" t="n">
        <f aca="false">IFERROR(DATEVALUE('Raw_Data (Before)'!G57),"")</f>
        <v>45506</v>
      </c>
      <c r="J57" s="7" t="str">
        <f aca="false">IF(I57="","No","Yes")</f>
        <v>Yes</v>
      </c>
      <c r="K57" s="7" t="str">
        <f aca="false">IF(OR(ISERROR(FIND("@",'Raw_Data (Before)'!H57)),ISNUMBER(FIND("@@",'Raw_Data (Before)'!H57)),ISNUMBER(FIND(" ",'Raw_Data (Before)'!H57)),ISERROR(FIND(".",'Raw_Data (Before)'!H57,FIND("@",'Raw_Data (Before)'!H57)))),"No","Yes")</f>
        <v>Yes</v>
      </c>
      <c r="L57" s="7" t="str">
        <f aca="false">IFERROR(INDEX(Lookup_Tables!$H$5:$H$9,MATCH(UPPER(TRIM('Raw_Data (Before)'!I57)),Lookup_Tables!$G$5:$G$9,0)),"UNMAPPED")</f>
        <v>Active</v>
      </c>
      <c r="M57" s="7" t="str">
        <f aca="false">IF(COUNTIF('Raw_Data (Before)'!$A$5:$A$424,A57)&gt;1,"YES","No")</f>
        <v>No</v>
      </c>
      <c r="N57" s="7" t="str">
        <f aca="false">IF(OR(C57="UNMAPPED",D57="UNMAPPED",F57="No",H57="No",J57="No",K57="No",L57="UNMAPPED",M57="YES"),"NEEDS REVIEW","OK")</f>
        <v>OK</v>
      </c>
    </row>
    <row r="58" customFormat="false" ht="15" hidden="false" customHeight="false" outlineLevel="0" collapsed="false">
      <c r="A58" s="7" t="str">
        <f aca="false">'Raw_Data (Before)'!A58</f>
        <v>EMP0190</v>
      </c>
      <c r="B58" s="7" t="str">
        <f aca="false">PROPER(TRIM('Raw_Data (Before)'!B58))</f>
        <v>Emmanuel Okonkwo</v>
      </c>
      <c r="C58" s="7" t="str">
        <f aca="false">IFERROR(INDEX(Lookup_Tables!$B$5:$B$24,MATCH(UPPER(TRIM('Raw_Data (Before)'!C58)),Lookup_Tables!$A$5:$A$24,0)),"UNMAPPED")</f>
        <v>HR</v>
      </c>
      <c r="D58" s="7" t="str">
        <f aca="false">IFERROR(INDEX(Lookup_Tables!$E$5:$E$8,MATCH(UPPER(TRIM('Raw_Data (Before)'!D58)),Lookup_Tables!$D$5:$D$8,0)),"UNMAPPED")</f>
        <v>Male</v>
      </c>
      <c r="E58" s="7" t="n">
        <f aca="false">'Raw_Data (Before)'!E58</f>
        <v>42</v>
      </c>
      <c r="F58" s="7" t="str">
        <f aca="false">IF(E58="","No",IF(OR(E58&lt;16,E58&gt;75),"No","Yes"))</f>
        <v>Yes</v>
      </c>
      <c r="G58" s="7" t="n">
        <f aca="false">IFERROR(VALUE(SUBSTITUTE(SUBSTITUTE('Raw_Data (Before)'!F58,"₦",""),",","")),"")</f>
        <v>718738</v>
      </c>
      <c r="H58" s="7" t="str">
        <f aca="false">IF(G58="","No",IF(OR(G58&lt;=0,G58&gt;5000000),"No","Yes"))</f>
        <v>Yes</v>
      </c>
      <c r="I58" s="8" t="str">
        <f aca="false">IFERROR(DATEVALUE('Raw_Data (Before)'!G58),"")</f>
        <v/>
      </c>
      <c r="J58" s="7" t="str">
        <f aca="false">IF(I58="","No","Yes")</f>
        <v>No</v>
      </c>
      <c r="K58" s="7" t="str">
        <f aca="false">IF(OR(ISERROR(FIND("@",'Raw_Data (Before)'!H58)),ISNUMBER(FIND("@@",'Raw_Data (Before)'!H58)),ISNUMBER(FIND(" ",'Raw_Data (Before)'!H58)),ISERROR(FIND(".",'Raw_Data (Before)'!H58,FIND("@",'Raw_Data (Before)'!H58)))),"No","Yes")</f>
        <v>Yes</v>
      </c>
      <c r="L58" s="7" t="str">
        <f aca="false">IFERROR(INDEX(Lookup_Tables!$H$5:$H$9,MATCH(UPPER(TRIM('Raw_Data (Before)'!I58)),Lookup_Tables!$G$5:$G$9,0)),"UNMAPPED")</f>
        <v>Inactive</v>
      </c>
      <c r="M58" s="7" t="str">
        <f aca="false">IF(COUNTIF('Raw_Data (Before)'!$A$5:$A$424,A58)&gt;1,"YES","No")</f>
        <v>YES</v>
      </c>
      <c r="N58" s="7" t="str">
        <f aca="false">IF(OR(C58="UNMAPPED",D58="UNMAPPED",F58="No",H58="No",J58="No",K58="No",L58="UNMAPPED",M58="YES"),"NEEDS REVIEW","OK")</f>
        <v>NEEDS REVIEW</v>
      </c>
    </row>
    <row r="59" customFormat="false" ht="15" hidden="false" customHeight="false" outlineLevel="0" collapsed="false">
      <c r="A59" s="7" t="str">
        <f aca="false">'Raw_Data (Before)'!A59</f>
        <v>EMP0365</v>
      </c>
      <c r="B59" s="7" t="str">
        <f aca="false">PROPER(TRIM('Raw_Data (Before)'!B59))</f>
        <v>Emeka Bello</v>
      </c>
      <c r="C59" s="7" t="str">
        <f aca="false">IFERROR(INDEX(Lookup_Tables!$B$5:$B$24,MATCH(UPPER(TRIM('Raw_Data (Before)'!C59)),Lookup_Tables!$A$5:$A$24,0)),"UNMAPPED")</f>
        <v>Customer Service</v>
      </c>
      <c r="D59" s="7" t="str">
        <f aca="false">IFERROR(INDEX(Lookup_Tables!$E$5:$E$8,MATCH(UPPER(TRIM('Raw_Data (Before)'!D59)),Lookup_Tables!$D$5:$D$8,0)),"UNMAPPED")</f>
        <v>Male</v>
      </c>
      <c r="E59" s="7" t="n">
        <f aca="false">'Raw_Data (Before)'!E59</f>
        <v>45</v>
      </c>
      <c r="F59" s="7" t="str">
        <f aca="false">IF(E59="","No",IF(OR(E59&lt;16,E59&gt;75),"No","Yes"))</f>
        <v>Yes</v>
      </c>
      <c r="G59" s="7" t="n">
        <f aca="false">IFERROR(VALUE(SUBSTITUTE(SUBSTITUTE('Raw_Data (Before)'!F59,"₦",""),",","")),"")</f>
        <v>341203</v>
      </c>
      <c r="H59" s="7" t="str">
        <f aca="false">IF(G59="","No",IF(OR(G59&lt;=0,G59&gt;5000000),"No","Yes"))</f>
        <v>Yes</v>
      </c>
      <c r="I59" s="8" t="n">
        <f aca="false">IFERROR(DATEVALUE('Raw_Data (Before)'!G59),"")</f>
        <v>43638</v>
      </c>
      <c r="J59" s="7" t="str">
        <f aca="false">IF(I59="","No","Yes")</f>
        <v>Yes</v>
      </c>
      <c r="K59" s="7" t="str">
        <f aca="false">IF(OR(ISERROR(FIND("@",'Raw_Data (Before)'!H59)),ISNUMBER(FIND("@@",'Raw_Data (Before)'!H59)),ISNUMBER(FIND(" ",'Raw_Data (Before)'!H59)),ISERROR(FIND(".",'Raw_Data (Before)'!H59,FIND("@",'Raw_Data (Before)'!H59)))),"No","Yes")</f>
        <v>Yes</v>
      </c>
      <c r="L59" s="7" t="str">
        <f aca="false">IFERROR(INDEX(Lookup_Tables!$H$5:$H$9,MATCH(UPPER(TRIM('Raw_Data (Before)'!I59)),Lookup_Tables!$G$5:$G$9,0)),"UNMAPPED")</f>
        <v>Inactive</v>
      </c>
      <c r="M59" s="7" t="str">
        <f aca="false">IF(COUNTIF('Raw_Data (Before)'!$A$5:$A$424,A59)&gt;1,"YES","No")</f>
        <v>No</v>
      </c>
      <c r="N59" s="7" t="str">
        <f aca="false">IF(OR(C59="UNMAPPED",D59="UNMAPPED",F59="No",H59="No",J59="No",K59="No",L59="UNMAPPED",M59="YES"),"NEEDS REVIEW","OK")</f>
        <v>OK</v>
      </c>
    </row>
    <row r="60" customFormat="false" ht="15" hidden="false" customHeight="false" outlineLevel="0" collapsed="false">
      <c r="A60" s="7" t="str">
        <f aca="false">'Raw_Data (Before)'!A60</f>
        <v>EMP0364</v>
      </c>
      <c r="B60" s="7" t="str">
        <f aca="false">PROPER(TRIM('Raw_Data (Before)'!B60))</f>
        <v>Blessing Nnamdi</v>
      </c>
      <c r="C60" s="7" t="str">
        <f aca="false">IFERROR(INDEX(Lookup_Tables!$B$5:$B$24,MATCH(UPPER(TRIM('Raw_Data (Before)'!C60)),Lookup_Tables!$A$5:$A$24,0)),"UNMAPPED")</f>
        <v>IT</v>
      </c>
      <c r="D60" s="7" t="str">
        <f aca="false">IFERROR(INDEX(Lookup_Tables!$E$5:$E$8,MATCH(UPPER(TRIM('Raw_Data (Before)'!D60)),Lookup_Tables!$D$5:$D$8,0)),"UNMAPPED")</f>
        <v>Female</v>
      </c>
      <c r="E60" s="7" t="n">
        <f aca="false">'Raw_Data (Before)'!E60</f>
        <v>46</v>
      </c>
      <c r="F60" s="7" t="str">
        <f aca="false">IF(E60="","No",IF(OR(E60&lt;16,E60&gt;75),"No","Yes"))</f>
        <v>Yes</v>
      </c>
      <c r="G60" s="7" t="n">
        <f aca="false">IFERROR(VALUE(SUBSTITUTE(SUBSTITUTE('Raw_Data (Before)'!F60,"₦",""),",","")),"")</f>
        <v>796625</v>
      </c>
      <c r="H60" s="7" t="str">
        <f aca="false">IF(G60="","No",IF(OR(G60&lt;=0,G60&gt;5000000),"No","Yes"))</f>
        <v>Yes</v>
      </c>
      <c r="I60" s="8" t="n">
        <f aca="false">IFERROR(DATEVALUE('Raw_Data (Before)'!G60),"")</f>
        <v>44969</v>
      </c>
      <c r="J60" s="7" t="str">
        <f aca="false">IF(I60="","No","Yes")</f>
        <v>Yes</v>
      </c>
      <c r="K60" s="7" t="str">
        <f aca="false">IF(OR(ISERROR(FIND("@",'Raw_Data (Before)'!H60)),ISNUMBER(FIND("@@",'Raw_Data (Before)'!H60)),ISNUMBER(FIND(" ",'Raw_Data (Before)'!H60)),ISERROR(FIND(".",'Raw_Data (Before)'!H60,FIND("@",'Raw_Data (Before)'!H60)))),"No","Yes")</f>
        <v>Yes</v>
      </c>
      <c r="L60" s="7" t="str">
        <f aca="false">IFERROR(INDEX(Lookup_Tables!$H$5:$H$9,MATCH(UPPER(TRIM('Raw_Data (Before)'!I60)),Lookup_Tables!$G$5:$G$9,0)),"UNMAPPED")</f>
        <v>Active</v>
      </c>
      <c r="M60" s="7" t="str">
        <f aca="false">IF(COUNTIF('Raw_Data (Before)'!$A$5:$A$424,A60)&gt;1,"YES","No")</f>
        <v>No</v>
      </c>
      <c r="N60" s="7" t="str">
        <f aca="false">IF(OR(C60="UNMAPPED",D60="UNMAPPED",F60="No",H60="No",J60="No",K60="No",L60="UNMAPPED",M60="YES"),"NEEDS REVIEW","OK")</f>
        <v>OK</v>
      </c>
    </row>
    <row r="61" customFormat="false" ht="15" hidden="false" customHeight="false" outlineLevel="0" collapsed="false">
      <c r="A61" s="7" t="str">
        <f aca="false">'Raw_Data (Before)'!A61</f>
        <v>EMP0252</v>
      </c>
      <c r="B61" s="7" t="str">
        <f aca="false">PROPER(TRIM('Raw_Data (Before)'!B61))</f>
        <v>Ifeoma Duru</v>
      </c>
      <c r="C61" s="7" t="str">
        <f aca="false">IFERROR(INDEX(Lookup_Tables!$B$5:$B$24,MATCH(UPPER(TRIM('Raw_Data (Before)'!C61)),Lookup_Tables!$A$5:$A$24,0)),"UNMAPPED")</f>
        <v>Operations</v>
      </c>
      <c r="D61" s="7" t="str">
        <f aca="false">IFERROR(INDEX(Lookup_Tables!$E$5:$E$8,MATCH(UPPER(TRIM('Raw_Data (Before)'!D61)),Lookup_Tables!$D$5:$D$8,0)),"UNMAPPED")</f>
        <v>Female</v>
      </c>
      <c r="E61" s="7" t="n">
        <f aca="false">'Raw_Data (Before)'!E61</f>
        <v>31</v>
      </c>
      <c r="F61" s="7" t="str">
        <f aca="false">IF(E61="","No",IF(OR(E61&lt;16,E61&gt;75),"No","Yes"))</f>
        <v>Yes</v>
      </c>
      <c r="G61" s="7" t="n">
        <f aca="false">IFERROR(VALUE(SUBSTITUTE(SUBSTITUTE('Raw_Data (Before)'!F61,"₦",""),",","")),"")</f>
        <v>238580</v>
      </c>
      <c r="H61" s="7" t="str">
        <f aca="false">IF(G61="","No",IF(OR(G61&lt;=0,G61&gt;5000000),"No","Yes"))</f>
        <v>Yes</v>
      </c>
      <c r="I61" s="8" t="n">
        <f aca="false">IFERROR(DATEVALUE('Raw_Data (Before)'!G61),"")</f>
        <v>43707</v>
      </c>
      <c r="J61" s="7" t="str">
        <f aca="false">IF(I61="","No","Yes")</f>
        <v>Yes</v>
      </c>
      <c r="K61" s="7" t="str">
        <f aca="false">IF(OR(ISERROR(FIND("@",'Raw_Data (Before)'!H61)),ISNUMBER(FIND("@@",'Raw_Data (Before)'!H61)),ISNUMBER(FIND(" ",'Raw_Data (Before)'!H61)),ISERROR(FIND(".",'Raw_Data (Before)'!H61,FIND("@",'Raw_Data (Before)'!H61)))),"No","Yes")</f>
        <v>Yes</v>
      </c>
      <c r="L61" s="7" t="str">
        <f aca="false">IFERROR(INDEX(Lookup_Tables!$H$5:$H$9,MATCH(UPPER(TRIM('Raw_Data (Before)'!I61)),Lookup_Tables!$G$5:$G$9,0)),"UNMAPPED")</f>
        <v>Active</v>
      </c>
      <c r="M61" s="7" t="str">
        <f aca="false">IF(COUNTIF('Raw_Data (Before)'!$A$5:$A$424,A61)&gt;1,"YES","No")</f>
        <v>No</v>
      </c>
      <c r="N61" s="7" t="str">
        <f aca="false">IF(OR(C61="UNMAPPED",D61="UNMAPPED",F61="No",H61="No",J61="No",K61="No",L61="UNMAPPED",M61="YES"),"NEEDS REVIEW","OK")</f>
        <v>OK</v>
      </c>
    </row>
    <row r="62" customFormat="false" ht="15" hidden="false" customHeight="false" outlineLevel="0" collapsed="false">
      <c r="A62" s="7" t="str">
        <f aca="false">'Raw_Data (Before)'!A62</f>
        <v>EMP0298</v>
      </c>
      <c r="B62" s="7" t="str">
        <f aca="false">PROPER(TRIM('Raw_Data (Before)'!B62))</f>
        <v>Joy Okonkwo</v>
      </c>
      <c r="C62" s="7" t="str">
        <f aca="false">IFERROR(INDEX(Lookup_Tables!$B$5:$B$24,MATCH(UPPER(TRIM('Raw_Data (Before)'!C62)),Lookup_Tables!$A$5:$A$24,0)),"UNMAPPED")</f>
        <v>Finance</v>
      </c>
      <c r="D62" s="7" t="str">
        <f aca="false">IFERROR(INDEX(Lookup_Tables!$E$5:$E$8,MATCH(UPPER(TRIM('Raw_Data (Before)'!D62)),Lookup_Tables!$D$5:$D$8,0)),"UNMAPPED")</f>
        <v>Female</v>
      </c>
      <c r="E62" s="7" t="n">
        <f aca="false">'Raw_Data (Before)'!E62</f>
        <v>50</v>
      </c>
      <c r="F62" s="7" t="str">
        <f aca="false">IF(E62="","No",IF(OR(E62&lt;16,E62&gt;75),"No","Yes"))</f>
        <v>Yes</v>
      </c>
      <c r="G62" s="7" t="n">
        <f aca="false">IFERROR(VALUE(SUBSTITUTE(SUBSTITUTE('Raw_Data (Before)'!F62,"₦",""),",","")),"")</f>
        <v>438975</v>
      </c>
      <c r="H62" s="7" t="str">
        <f aca="false">IF(G62="","No",IF(OR(G62&lt;=0,G62&gt;5000000),"No","Yes"))</f>
        <v>Yes</v>
      </c>
      <c r="I62" s="8" t="n">
        <f aca="false">IFERROR(DATEVALUE('Raw_Data (Before)'!G62),"")</f>
        <v>44923</v>
      </c>
      <c r="J62" s="7" t="str">
        <f aca="false">IF(I62="","No","Yes")</f>
        <v>Yes</v>
      </c>
      <c r="K62" s="7" t="str">
        <f aca="false">IF(OR(ISERROR(FIND("@",'Raw_Data (Before)'!H62)),ISNUMBER(FIND("@@",'Raw_Data (Before)'!H62)),ISNUMBER(FIND(" ",'Raw_Data (Before)'!H62)),ISERROR(FIND(".",'Raw_Data (Before)'!H62,FIND("@",'Raw_Data (Before)'!H62)))),"No","Yes")</f>
        <v>Yes</v>
      </c>
      <c r="L62" s="7" t="str">
        <f aca="false">IFERROR(INDEX(Lookup_Tables!$H$5:$H$9,MATCH(UPPER(TRIM('Raw_Data (Before)'!I62)),Lookup_Tables!$G$5:$G$9,0)),"UNMAPPED")</f>
        <v>Active</v>
      </c>
      <c r="M62" s="7" t="str">
        <f aca="false">IF(COUNTIF('Raw_Data (Before)'!$A$5:$A$424,A62)&gt;1,"YES","No")</f>
        <v>No</v>
      </c>
      <c r="N62" s="7" t="str">
        <f aca="false">IF(OR(C62="UNMAPPED",D62="UNMAPPED",F62="No",H62="No",J62="No",K62="No",L62="UNMAPPED",M62="YES"),"NEEDS REVIEW","OK")</f>
        <v>OK</v>
      </c>
    </row>
    <row r="63" customFormat="false" ht="15" hidden="false" customHeight="false" outlineLevel="0" collapsed="false">
      <c r="A63" s="7" t="str">
        <f aca="false">'Raw_Data (Before)'!A63</f>
        <v>EMP0111</v>
      </c>
      <c r="B63" s="7" t="str">
        <f aca="false">PROPER(TRIM('Raw_Data (Before)'!B63))</f>
        <v>Patience Yakubu</v>
      </c>
      <c r="C63" s="7" t="str">
        <f aca="false">IFERROR(INDEX(Lookup_Tables!$B$5:$B$24,MATCH(UPPER(TRIM('Raw_Data (Before)'!C63)),Lookup_Tables!$A$5:$A$24,0)),"UNMAPPED")</f>
        <v>IT</v>
      </c>
      <c r="D63" s="7" t="str">
        <f aca="false">IFERROR(INDEX(Lookup_Tables!$E$5:$E$8,MATCH(UPPER(TRIM('Raw_Data (Before)'!D63)),Lookup_Tables!$D$5:$D$8,0)),"UNMAPPED")</f>
        <v>Female</v>
      </c>
      <c r="E63" s="7" t="n">
        <f aca="false">'Raw_Data (Before)'!E63</f>
        <v>59</v>
      </c>
      <c r="F63" s="7" t="str">
        <f aca="false">IF(E63="","No",IF(OR(E63&lt;16,E63&gt;75),"No","Yes"))</f>
        <v>Yes</v>
      </c>
      <c r="G63" s="7" t="n">
        <f aca="false">IFERROR(VALUE(SUBSTITUTE(SUBSTITUTE('Raw_Data (Before)'!F63,"₦",""),",","")),"")</f>
        <v>850272</v>
      </c>
      <c r="H63" s="7" t="str">
        <f aca="false">IF(G63="","No",IF(OR(G63&lt;=0,G63&gt;5000000),"No","Yes"))</f>
        <v>Yes</v>
      </c>
      <c r="I63" s="8" t="n">
        <f aca="false">IFERROR(DATEVALUE('Raw_Data (Before)'!G63),"")</f>
        <v>44110</v>
      </c>
      <c r="J63" s="7" t="str">
        <f aca="false">IF(I63="","No","Yes")</f>
        <v>Yes</v>
      </c>
      <c r="K63" s="7" t="str">
        <f aca="false">IF(OR(ISERROR(FIND("@",'Raw_Data (Before)'!H63)),ISNUMBER(FIND("@@",'Raw_Data (Before)'!H63)),ISNUMBER(FIND(" ",'Raw_Data (Before)'!H63)),ISERROR(FIND(".",'Raw_Data (Before)'!H63,FIND("@",'Raw_Data (Before)'!H63)))),"No","Yes")</f>
        <v>Yes</v>
      </c>
      <c r="L63" s="7" t="str">
        <f aca="false">IFERROR(INDEX(Lookup_Tables!$H$5:$H$9,MATCH(UPPER(TRIM('Raw_Data (Before)'!I63)),Lookup_Tables!$G$5:$G$9,0)),"UNMAPPED")</f>
        <v>Inactive</v>
      </c>
      <c r="M63" s="7" t="str">
        <f aca="false">IF(COUNTIF('Raw_Data (Before)'!$A$5:$A$424,A63)&gt;1,"YES","No")</f>
        <v>No</v>
      </c>
      <c r="N63" s="7" t="str">
        <f aca="false">IF(OR(C63="UNMAPPED",D63="UNMAPPED",F63="No",H63="No",J63="No",K63="No",L63="UNMAPPED",M63="YES"),"NEEDS REVIEW","OK")</f>
        <v>OK</v>
      </c>
    </row>
    <row r="64" customFormat="false" ht="15" hidden="false" customHeight="false" outlineLevel="0" collapsed="false">
      <c r="A64" s="7" t="str">
        <f aca="false">'Raw_Data (Before)'!A64</f>
        <v>EMP0083</v>
      </c>
      <c r="B64" s="7" t="str">
        <f aca="false">PROPER(TRIM('Raw_Data (Before)'!B64))</f>
        <v>Peter Okonkwo</v>
      </c>
      <c r="C64" s="7" t="str">
        <f aca="false">IFERROR(INDEX(Lookup_Tables!$B$5:$B$24,MATCH(UPPER(TRIM('Raw_Data (Before)'!C64)),Lookup_Tables!$A$5:$A$24,0)),"UNMAPPED")</f>
        <v>Sales</v>
      </c>
      <c r="D64" s="7" t="str">
        <f aca="false">IFERROR(INDEX(Lookup_Tables!$E$5:$E$8,MATCH(UPPER(TRIM('Raw_Data (Before)'!D64)),Lookup_Tables!$D$5:$D$8,0)),"UNMAPPED")</f>
        <v>Male</v>
      </c>
      <c r="E64" s="7" t="n">
        <f aca="false">'Raw_Data (Before)'!E64</f>
        <v>56</v>
      </c>
      <c r="F64" s="7" t="str">
        <f aca="false">IF(E64="","No",IF(OR(E64&lt;16,E64&gt;75),"No","Yes"))</f>
        <v>Yes</v>
      </c>
      <c r="G64" s="7" t="n">
        <f aca="false">IFERROR(VALUE(SUBSTITUTE(SUBSTITUTE('Raw_Data (Before)'!F64,"₦",""),",","")),"")</f>
        <v>447350</v>
      </c>
      <c r="H64" s="7" t="str">
        <f aca="false">IF(G64="","No",IF(OR(G64&lt;=0,G64&gt;5000000),"No","Yes"))</f>
        <v>Yes</v>
      </c>
      <c r="I64" s="8" t="str">
        <f aca="false">IFERROR(DATEVALUE('Raw_Data (Before)'!G64),"")</f>
        <v/>
      </c>
      <c r="J64" s="7" t="str">
        <f aca="false">IF(I64="","No","Yes")</f>
        <v>No</v>
      </c>
      <c r="K64" s="7" t="str">
        <f aca="false">IF(OR(ISERROR(FIND("@",'Raw_Data (Before)'!H64)),ISNUMBER(FIND("@@",'Raw_Data (Before)'!H64)),ISNUMBER(FIND(" ",'Raw_Data (Before)'!H64)),ISERROR(FIND(".",'Raw_Data (Before)'!H64,FIND("@",'Raw_Data (Before)'!H64)))),"No","Yes")</f>
        <v>Yes</v>
      </c>
      <c r="L64" s="7" t="str">
        <f aca="false">IFERROR(INDEX(Lookup_Tables!$H$5:$H$9,MATCH(UPPER(TRIM('Raw_Data (Before)'!I64)),Lookup_Tables!$G$5:$G$9,0)),"UNMAPPED")</f>
        <v>Active</v>
      </c>
      <c r="M64" s="7" t="str">
        <f aca="false">IF(COUNTIF('Raw_Data (Before)'!$A$5:$A$424,A64)&gt;1,"YES","No")</f>
        <v>No</v>
      </c>
      <c r="N64" s="7" t="str">
        <f aca="false">IF(OR(C64="UNMAPPED",D64="UNMAPPED",F64="No",H64="No",J64="No",K64="No",L64="UNMAPPED",M64="YES"),"NEEDS REVIEW","OK")</f>
        <v>NEEDS REVIEW</v>
      </c>
    </row>
    <row r="65" customFormat="false" ht="15" hidden="false" customHeight="false" outlineLevel="0" collapsed="false">
      <c r="A65" s="7" t="str">
        <f aca="false">'Raw_Data (Before)'!A65</f>
        <v>EMP0351</v>
      </c>
      <c r="B65" s="7" t="str">
        <f aca="false">PROPER(TRIM('Raw_Data (Before)'!B65))</f>
        <v>Ibrahim Ogundipe</v>
      </c>
      <c r="C65" s="7" t="str">
        <f aca="false">IFERROR(INDEX(Lookup_Tables!$B$5:$B$24,MATCH(UPPER(TRIM('Raw_Data (Before)'!C65)),Lookup_Tables!$A$5:$A$24,0)),"UNMAPPED")</f>
        <v>Operations</v>
      </c>
      <c r="D65" s="7" t="str">
        <f aca="false">IFERROR(INDEX(Lookup_Tables!$E$5:$E$8,MATCH(UPPER(TRIM('Raw_Data (Before)'!D65)),Lookup_Tables!$D$5:$D$8,0)),"UNMAPPED")</f>
        <v>Male</v>
      </c>
      <c r="E65" s="7" t="n">
        <f aca="false">'Raw_Data (Before)'!E65</f>
        <v>35</v>
      </c>
      <c r="F65" s="7" t="str">
        <f aca="false">IF(E65="","No",IF(OR(E65&lt;16,E65&gt;75),"No","Yes"))</f>
        <v>Yes</v>
      </c>
      <c r="G65" s="7" t="n">
        <f aca="false">IFERROR(VALUE(SUBSTITUTE(SUBSTITUTE('Raw_Data (Before)'!F65,"₦",""),",","")),"")</f>
        <v>436577</v>
      </c>
      <c r="H65" s="7" t="str">
        <f aca="false">IF(G65="","No",IF(OR(G65&lt;=0,G65&gt;5000000),"No","Yes"))</f>
        <v>Yes</v>
      </c>
      <c r="I65" s="8" t="n">
        <f aca="false">IFERROR(DATEVALUE('Raw_Data (Before)'!G65),"")</f>
        <v>44438</v>
      </c>
      <c r="J65" s="7" t="str">
        <f aca="false">IF(I65="","No","Yes")</f>
        <v>Yes</v>
      </c>
      <c r="K65" s="7" t="str">
        <f aca="false">IF(OR(ISERROR(FIND("@",'Raw_Data (Before)'!H65)),ISNUMBER(FIND("@@",'Raw_Data (Before)'!H65)),ISNUMBER(FIND(" ",'Raw_Data (Before)'!H65)),ISERROR(FIND(".",'Raw_Data (Before)'!H65,FIND("@",'Raw_Data (Before)'!H65)))),"No","Yes")</f>
        <v>Yes</v>
      </c>
      <c r="L65" s="7" t="str">
        <f aca="false">IFERROR(INDEX(Lookup_Tables!$H$5:$H$9,MATCH(UPPER(TRIM('Raw_Data (Before)'!I65)),Lookup_Tables!$G$5:$G$9,0)),"UNMAPPED")</f>
        <v>Active</v>
      </c>
      <c r="M65" s="7" t="str">
        <f aca="false">IF(COUNTIF('Raw_Data (Before)'!$A$5:$A$424,A65)&gt;1,"YES","No")</f>
        <v>No</v>
      </c>
      <c r="N65" s="7" t="str">
        <f aca="false">IF(OR(C65="UNMAPPED",D65="UNMAPPED",F65="No",H65="No",J65="No",K65="No",L65="UNMAPPED",M65="YES"),"NEEDS REVIEW","OK")</f>
        <v>OK</v>
      </c>
    </row>
    <row r="66" customFormat="false" ht="15" hidden="false" customHeight="false" outlineLevel="0" collapsed="false">
      <c r="A66" s="7" t="str">
        <f aca="false">'Raw_Data (Before)'!A66</f>
        <v>EMP0300</v>
      </c>
      <c r="B66" s="7" t="str">
        <f aca="false">PROPER(TRIM('Raw_Data (Before)'!B66))</f>
        <v>Ifeoma Adeyemi</v>
      </c>
      <c r="C66" s="7" t="str">
        <f aca="false">IFERROR(INDEX(Lookup_Tables!$B$5:$B$24,MATCH(UPPER(TRIM('Raw_Data (Before)'!C66)),Lookup_Tables!$A$5:$A$24,0)),"UNMAPPED")</f>
        <v>Finance</v>
      </c>
      <c r="D66" s="7" t="str">
        <f aca="false">IFERROR(INDEX(Lookup_Tables!$E$5:$E$8,MATCH(UPPER(TRIM('Raw_Data (Before)'!D66)),Lookup_Tables!$D$5:$D$8,0)),"UNMAPPED")</f>
        <v>Male</v>
      </c>
      <c r="E66" s="7" t="n">
        <f aca="false">'Raw_Data (Before)'!E66</f>
        <v>25</v>
      </c>
      <c r="F66" s="7" t="str">
        <f aca="false">IF(E66="","No",IF(OR(E66&lt;16,E66&gt;75),"No","Yes"))</f>
        <v>Yes</v>
      </c>
      <c r="G66" s="7" t="n">
        <f aca="false">IFERROR(VALUE(SUBSTITUTE(SUBSTITUTE('Raw_Data (Before)'!F66,"₦",""),",","")),"")</f>
        <v>390257</v>
      </c>
      <c r="H66" s="7" t="str">
        <f aca="false">IF(G66="","No",IF(OR(G66&lt;=0,G66&gt;5000000),"No","Yes"))</f>
        <v>Yes</v>
      </c>
      <c r="I66" s="8" t="n">
        <f aca="false">IFERROR(DATEVALUE('Raw_Data (Before)'!G66),"")</f>
        <v>45434</v>
      </c>
      <c r="J66" s="7" t="str">
        <f aca="false">IF(I66="","No","Yes")</f>
        <v>Yes</v>
      </c>
      <c r="K66" s="7" t="str">
        <f aca="false">IF(OR(ISERROR(FIND("@",'Raw_Data (Before)'!H66)),ISNUMBER(FIND("@@",'Raw_Data (Before)'!H66)),ISNUMBER(FIND(" ",'Raw_Data (Before)'!H66)),ISERROR(FIND(".",'Raw_Data (Before)'!H66,FIND("@",'Raw_Data (Before)'!H66)))),"No","Yes")</f>
        <v>Yes</v>
      </c>
      <c r="L66" s="7" t="str">
        <f aca="false">IFERROR(INDEX(Lookup_Tables!$H$5:$H$9,MATCH(UPPER(TRIM('Raw_Data (Before)'!I66)),Lookup_Tables!$G$5:$G$9,0)),"UNMAPPED")</f>
        <v>Active</v>
      </c>
      <c r="M66" s="7" t="str">
        <f aca="false">IF(COUNTIF('Raw_Data (Before)'!$A$5:$A$424,A66)&gt;1,"YES","No")</f>
        <v>No</v>
      </c>
      <c r="N66" s="7" t="str">
        <f aca="false">IF(OR(C66="UNMAPPED",D66="UNMAPPED",F66="No",H66="No",J66="No",K66="No",L66="UNMAPPED",M66="YES"),"NEEDS REVIEW","OK")</f>
        <v>OK</v>
      </c>
    </row>
    <row r="67" customFormat="false" ht="15" hidden="false" customHeight="false" outlineLevel="0" collapsed="false">
      <c r="A67" s="7" t="str">
        <f aca="false">'Raw_Data (Before)'!A67</f>
        <v>EMP0043</v>
      </c>
      <c r="B67" s="7" t="str">
        <f aca="false">PROPER(TRIM('Raw_Data (Before)'!B67))</f>
        <v>Yusuf Chukwu</v>
      </c>
      <c r="C67" s="7" t="str">
        <f aca="false">IFERROR(INDEX(Lookup_Tables!$B$5:$B$24,MATCH(UPPER(TRIM('Raw_Data (Before)'!C67)),Lookup_Tables!$A$5:$A$24,0)),"UNMAPPED")</f>
        <v>HR</v>
      </c>
      <c r="D67" s="7" t="str">
        <f aca="false">IFERROR(INDEX(Lookup_Tables!$E$5:$E$8,MATCH(UPPER(TRIM('Raw_Data (Before)'!D67)),Lookup_Tables!$D$5:$D$8,0)),"UNMAPPED")</f>
        <v>Male</v>
      </c>
      <c r="E67" s="7" t="n">
        <f aca="false">'Raw_Data (Before)'!E67</f>
        <v>38</v>
      </c>
      <c r="F67" s="7" t="str">
        <f aca="false">IF(E67="","No",IF(OR(E67&lt;16,E67&gt;75),"No","Yes"))</f>
        <v>Yes</v>
      </c>
      <c r="G67" s="7" t="n">
        <f aca="false">IFERROR(VALUE(SUBSTITUTE(SUBSTITUTE('Raw_Data (Before)'!F67,"₦",""),",","")),"")</f>
        <v>537431</v>
      </c>
      <c r="H67" s="7" t="str">
        <f aca="false">IF(G67="","No",IF(OR(G67&lt;=0,G67&gt;5000000),"No","Yes"))</f>
        <v>Yes</v>
      </c>
      <c r="I67" s="8" t="str">
        <f aca="false">IFERROR(DATEVALUE('Raw_Data (Before)'!G67),"")</f>
        <v/>
      </c>
      <c r="J67" s="7" t="str">
        <f aca="false">IF(I67="","No","Yes")</f>
        <v>No</v>
      </c>
      <c r="K67" s="7" t="str">
        <f aca="false">IF(OR(ISERROR(FIND("@",'Raw_Data (Before)'!H67)),ISNUMBER(FIND("@@",'Raw_Data (Before)'!H67)),ISNUMBER(FIND(" ",'Raw_Data (Before)'!H67)),ISERROR(FIND(".",'Raw_Data (Before)'!H67,FIND("@",'Raw_Data (Before)'!H67)))),"No","Yes")</f>
        <v>Yes</v>
      </c>
      <c r="L67" s="7" t="str">
        <f aca="false">IFERROR(INDEX(Lookup_Tables!$H$5:$H$9,MATCH(UPPER(TRIM('Raw_Data (Before)'!I67)),Lookup_Tables!$G$5:$G$9,0)),"UNMAPPED")</f>
        <v>Active</v>
      </c>
      <c r="M67" s="7" t="str">
        <f aca="false">IF(COUNTIF('Raw_Data (Before)'!$A$5:$A$424,A67)&gt;1,"YES","No")</f>
        <v>No</v>
      </c>
      <c r="N67" s="7" t="str">
        <f aca="false">IF(OR(C67="UNMAPPED",D67="UNMAPPED",F67="No",H67="No",J67="No",K67="No",L67="UNMAPPED",M67="YES"),"NEEDS REVIEW","OK")</f>
        <v>NEEDS REVIEW</v>
      </c>
    </row>
    <row r="68" customFormat="false" ht="15" hidden="false" customHeight="false" outlineLevel="0" collapsed="false">
      <c r="A68" s="7" t="str">
        <f aca="false">'Raw_Data (Before)'!A68</f>
        <v>EMP0140</v>
      </c>
      <c r="B68" s="7" t="str">
        <f aca="false">PROPER(TRIM('Raw_Data (Before)'!B68))</f>
        <v>Ifeoma Bello</v>
      </c>
      <c r="C68" s="7" t="str">
        <f aca="false">IFERROR(INDEX(Lookup_Tables!$B$5:$B$24,MATCH(UPPER(TRIM('Raw_Data (Before)'!C68)),Lookup_Tables!$A$5:$A$24,0)),"UNMAPPED")</f>
        <v>Customer Service</v>
      </c>
      <c r="D68" s="7" t="str">
        <f aca="false">IFERROR(INDEX(Lookup_Tables!$E$5:$E$8,MATCH(UPPER(TRIM('Raw_Data (Before)'!D68)),Lookup_Tables!$D$5:$D$8,0)),"UNMAPPED")</f>
        <v>Male</v>
      </c>
      <c r="E68" s="7" t="n">
        <f aca="false">'Raw_Data (Before)'!E68</f>
        <v>38</v>
      </c>
      <c r="F68" s="7" t="str">
        <f aca="false">IF(E68="","No",IF(OR(E68&lt;16,E68&gt;75),"No","Yes"))</f>
        <v>Yes</v>
      </c>
      <c r="G68" s="7" t="n">
        <f aca="false">IFERROR(VALUE(SUBSTITUTE(SUBSTITUTE('Raw_Data (Before)'!F68,"₦",""),",","")),"")</f>
        <v>263834</v>
      </c>
      <c r="H68" s="7" t="str">
        <f aca="false">IF(G68="","No",IF(OR(G68&lt;=0,G68&gt;5000000),"No","Yes"))</f>
        <v>Yes</v>
      </c>
      <c r="I68" s="8" t="n">
        <f aca="false">IFERROR(DATEVALUE('Raw_Data (Before)'!G68),"")</f>
        <v>43459</v>
      </c>
      <c r="J68" s="7" t="str">
        <f aca="false">IF(I68="","No","Yes")</f>
        <v>Yes</v>
      </c>
      <c r="K68" s="7" t="str">
        <f aca="false">IF(OR(ISERROR(FIND("@",'Raw_Data (Before)'!H68)),ISNUMBER(FIND("@@",'Raw_Data (Before)'!H68)),ISNUMBER(FIND(" ",'Raw_Data (Before)'!H68)),ISERROR(FIND(".",'Raw_Data (Before)'!H68,FIND("@",'Raw_Data (Before)'!H68)))),"No","Yes")</f>
        <v>Yes</v>
      </c>
      <c r="L68" s="7" t="str">
        <f aca="false">IFERROR(INDEX(Lookup_Tables!$H$5:$H$9,MATCH(UPPER(TRIM('Raw_Data (Before)'!I68)),Lookup_Tables!$G$5:$G$9,0)),"UNMAPPED")</f>
        <v>Active</v>
      </c>
      <c r="M68" s="7" t="str">
        <f aca="false">IF(COUNTIF('Raw_Data (Before)'!$A$5:$A$424,A68)&gt;1,"YES","No")</f>
        <v>No</v>
      </c>
      <c r="N68" s="7" t="str">
        <f aca="false">IF(OR(C68="UNMAPPED",D68="UNMAPPED",F68="No",H68="No",J68="No",K68="No",L68="UNMAPPED",M68="YES"),"NEEDS REVIEW","OK")</f>
        <v>OK</v>
      </c>
    </row>
    <row r="69" customFormat="false" ht="15" hidden="false" customHeight="false" outlineLevel="0" collapsed="false">
      <c r="A69" s="7" t="str">
        <f aca="false">'Raw_Data (Before)'!A69</f>
        <v>EMP0220</v>
      </c>
      <c r="B69" s="7" t="str">
        <f aca="false">PROPER(TRIM('Raw_Data (Before)'!B69))</f>
        <v>Tunde Yakubu</v>
      </c>
      <c r="C69" s="7" t="str">
        <f aca="false">IFERROR(INDEX(Lookup_Tables!$B$5:$B$24,MATCH(UPPER(TRIM('Raw_Data (Before)'!C69)),Lookup_Tables!$A$5:$A$24,0)),"UNMAPPED")</f>
        <v>Finance</v>
      </c>
      <c r="D69" s="7" t="str">
        <f aca="false">IFERROR(INDEX(Lookup_Tables!$E$5:$E$8,MATCH(UPPER(TRIM('Raw_Data (Before)'!D69)),Lookup_Tables!$D$5:$D$8,0)),"UNMAPPED")</f>
        <v>Female</v>
      </c>
      <c r="E69" s="7" t="n">
        <f aca="false">'Raw_Data (Before)'!E69</f>
        <v>28</v>
      </c>
      <c r="F69" s="7" t="str">
        <f aca="false">IF(E69="","No",IF(OR(E69&lt;16,E69&gt;75),"No","Yes"))</f>
        <v>Yes</v>
      </c>
      <c r="G69" s="7" t="n">
        <f aca="false">IFERROR(VALUE(SUBSTITUTE(SUBSTITUTE('Raw_Data (Before)'!F69,"₦",""),",","")),"")</f>
        <v>635673</v>
      </c>
      <c r="H69" s="7" t="str">
        <f aca="false">IF(G69="","No",IF(OR(G69&lt;=0,G69&gt;5000000),"No","Yes"))</f>
        <v>Yes</v>
      </c>
      <c r="I69" s="8" t="n">
        <f aca="false">IFERROR(DATEVALUE('Raw_Data (Before)'!G69),"")</f>
        <v>45694</v>
      </c>
      <c r="J69" s="7" t="str">
        <f aca="false">IF(I69="","No","Yes")</f>
        <v>Yes</v>
      </c>
      <c r="K69" s="7" t="str">
        <f aca="false">IF(OR(ISERROR(FIND("@",'Raw_Data (Before)'!H69)),ISNUMBER(FIND("@@",'Raw_Data (Before)'!H69)),ISNUMBER(FIND(" ",'Raw_Data (Before)'!H69)),ISERROR(FIND(".",'Raw_Data (Before)'!H69,FIND("@",'Raw_Data (Before)'!H69)))),"No","Yes")</f>
        <v>Yes</v>
      </c>
      <c r="L69" s="7" t="str">
        <f aca="false">IFERROR(INDEX(Lookup_Tables!$H$5:$H$9,MATCH(UPPER(TRIM('Raw_Data (Before)'!I69)),Lookup_Tables!$G$5:$G$9,0)),"UNMAPPED")</f>
        <v>Active</v>
      </c>
      <c r="M69" s="7" t="str">
        <f aca="false">IF(COUNTIF('Raw_Data (Before)'!$A$5:$A$424,A69)&gt;1,"YES","No")</f>
        <v>No</v>
      </c>
      <c r="N69" s="7" t="str">
        <f aca="false">IF(OR(C69="UNMAPPED",D69="UNMAPPED",F69="No",H69="No",J69="No",K69="No",L69="UNMAPPED",M69="YES"),"NEEDS REVIEW","OK")</f>
        <v>OK</v>
      </c>
    </row>
    <row r="70" customFormat="false" ht="15" hidden="false" customHeight="false" outlineLevel="0" collapsed="false">
      <c r="A70" s="7" t="str">
        <f aca="false">'Raw_Data (Before)'!A70</f>
        <v>EMP0019</v>
      </c>
      <c r="B70" s="7" t="str">
        <f aca="false">PROPER(TRIM('Raw_Data (Before)'!B70))</f>
        <v>Blessing Eze</v>
      </c>
      <c r="C70" s="7" t="str">
        <f aca="false">IFERROR(INDEX(Lookup_Tables!$B$5:$B$24,MATCH(UPPER(TRIM('Raw_Data (Before)'!C70)),Lookup_Tables!$A$5:$A$24,0)),"UNMAPPED")</f>
        <v>IT</v>
      </c>
      <c r="D70" s="7" t="str">
        <f aca="false">IFERROR(INDEX(Lookup_Tables!$E$5:$E$8,MATCH(UPPER(TRIM('Raw_Data (Before)'!D70)),Lookup_Tables!$D$5:$D$8,0)),"UNMAPPED")</f>
        <v>Female</v>
      </c>
      <c r="E70" s="7" t="n">
        <f aca="false">'Raw_Data (Before)'!E70</f>
        <v>50</v>
      </c>
      <c r="F70" s="7" t="str">
        <f aca="false">IF(E70="","No",IF(OR(E70&lt;16,E70&gt;75),"No","Yes"))</f>
        <v>Yes</v>
      </c>
      <c r="G70" s="7" t="n">
        <f aca="false">IFERROR(VALUE(SUBSTITUTE(SUBSTITUTE('Raw_Data (Before)'!F70,"₦",""),",","")),"")</f>
        <v>774655</v>
      </c>
      <c r="H70" s="7" t="str">
        <f aca="false">IF(G70="","No",IF(OR(G70&lt;=0,G70&gt;5000000),"No","Yes"))</f>
        <v>Yes</v>
      </c>
      <c r="I70" s="8" t="n">
        <f aca="false">IFERROR(DATEVALUE('Raw_Data (Before)'!G70),"")</f>
        <v>43350</v>
      </c>
      <c r="J70" s="7" t="str">
        <f aca="false">IF(I70="","No","Yes")</f>
        <v>Yes</v>
      </c>
      <c r="K70" s="7" t="str">
        <f aca="false">IF(OR(ISERROR(FIND("@",'Raw_Data (Before)'!H70)),ISNUMBER(FIND("@@",'Raw_Data (Before)'!H70)),ISNUMBER(FIND(" ",'Raw_Data (Before)'!H70)),ISERROR(FIND(".",'Raw_Data (Before)'!H70,FIND("@",'Raw_Data (Before)'!H70)))),"No","Yes")</f>
        <v>Yes</v>
      </c>
      <c r="L70" s="7" t="str">
        <f aca="false">IFERROR(INDEX(Lookup_Tables!$H$5:$H$9,MATCH(UPPER(TRIM('Raw_Data (Before)'!I70)),Lookup_Tables!$G$5:$G$9,0)),"UNMAPPED")</f>
        <v>Active</v>
      </c>
      <c r="M70" s="7" t="str">
        <f aca="false">IF(COUNTIF('Raw_Data (Before)'!$A$5:$A$424,A70)&gt;1,"YES","No")</f>
        <v>No</v>
      </c>
      <c r="N70" s="7" t="str">
        <f aca="false">IF(OR(C70="UNMAPPED",D70="UNMAPPED",F70="No",H70="No",J70="No",K70="No",L70="UNMAPPED",M70="YES"),"NEEDS REVIEW","OK")</f>
        <v>OK</v>
      </c>
    </row>
    <row r="71" customFormat="false" ht="15" hidden="false" customHeight="false" outlineLevel="0" collapsed="false">
      <c r="A71" s="7" t="str">
        <f aca="false">'Raw_Data (Before)'!A71</f>
        <v>EMP0121</v>
      </c>
      <c r="B71" s="7" t="str">
        <f aca="false">PROPER(TRIM('Raw_Data (Before)'!B71))</f>
        <v>Comfort Obi</v>
      </c>
      <c r="C71" s="7" t="str">
        <f aca="false">IFERROR(INDEX(Lookup_Tables!$B$5:$B$24,MATCH(UPPER(TRIM('Raw_Data (Before)'!C71)),Lookup_Tables!$A$5:$A$24,0)),"UNMAPPED")</f>
        <v>Sales</v>
      </c>
      <c r="D71" s="7" t="str">
        <f aca="false">IFERROR(INDEX(Lookup_Tables!$E$5:$E$8,MATCH(UPPER(TRIM('Raw_Data (Before)'!D71)),Lookup_Tables!$D$5:$D$8,0)),"UNMAPPED")</f>
        <v>Male</v>
      </c>
      <c r="E71" s="7" t="n">
        <f aca="false">'Raw_Data (Before)'!E71</f>
        <v>37</v>
      </c>
      <c r="F71" s="7" t="str">
        <f aca="false">IF(E71="","No",IF(OR(E71&lt;16,E71&gt;75),"No","Yes"))</f>
        <v>Yes</v>
      </c>
      <c r="G71" s="7" t="n">
        <f aca="false">IFERROR(VALUE(SUBSTITUTE(SUBSTITUTE('Raw_Data (Before)'!F71,"₦",""),",","")),"")</f>
        <v>135218</v>
      </c>
      <c r="H71" s="7" t="str">
        <f aca="false">IF(G71="","No",IF(OR(G71&lt;=0,G71&gt;5000000),"No","Yes"))</f>
        <v>Yes</v>
      </c>
      <c r="I71" s="8" t="n">
        <f aca="false">IFERROR(DATEVALUE('Raw_Data (Before)'!G71),"")</f>
        <v>44987</v>
      </c>
      <c r="J71" s="7" t="str">
        <f aca="false">IF(I71="","No","Yes")</f>
        <v>Yes</v>
      </c>
      <c r="K71" s="7" t="str">
        <f aca="false">IF(OR(ISERROR(FIND("@",'Raw_Data (Before)'!H71)),ISNUMBER(FIND("@@",'Raw_Data (Before)'!H71)),ISNUMBER(FIND(" ",'Raw_Data (Before)'!H71)),ISERROR(FIND(".",'Raw_Data (Before)'!H71,FIND("@",'Raw_Data (Before)'!H71)))),"No","Yes")</f>
        <v>No</v>
      </c>
      <c r="L71" s="7" t="str">
        <f aca="false">IFERROR(INDEX(Lookup_Tables!$H$5:$H$9,MATCH(UPPER(TRIM('Raw_Data (Before)'!I71)),Lookup_Tables!$G$5:$G$9,0)),"UNMAPPED")</f>
        <v>Active</v>
      </c>
      <c r="M71" s="7" t="str">
        <f aca="false">IF(COUNTIF('Raw_Data (Before)'!$A$5:$A$424,A71)&gt;1,"YES","No")</f>
        <v>No</v>
      </c>
      <c r="N71" s="7" t="str">
        <f aca="false">IF(OR(C71="UNMAPPED",D71="UNMAPPED",F71="No",H71="No",J71="No",K71="No",L71="UNMAPPED",M71="YES"),"NEEDS REVIEW","OK")</f>
        <v>NEEDS REVIEW</v>
      </c>
    </row>
    <row r="72" customFormat="false" ht="15" hidden="false" customHeight="false" outlineLevel="0" collapsed="false">
      <c r="A72" s="7" t="str">
        <f aca="false">'Raw_Data (Before)'!A72</f>
        <v>EMP0240</v>
      </c>
      <c r="B72" s="7" t="str">
        <f aca="false">PROPER(TRIM('Raw_Data (Before)'!B72))</f>
        <v>Ngozi Yakubu</v>
      </c>
      <c r="C72" s="7" t="str">
        <f aca="false">IFERROR(INDEX(Lookup_Tables!$B$5:$B$24,MATCH(UPPER(TRIM('Raw_Data (Before)'!C72)),Lookup_Tables!$A$5:$A$24,0)),"UNMAPPED")</f>
        <v>Finance</v>
      </c>
      <c r="D72" s="7" t="str">
        <f aca="false">IFERROR(INDEX(Lookup_Tables!$E$5:$E$8,MATCH(UPPER(TRIM('Raw_Data (Before)'!D72)),Lookup_Tables!$D$5:$D$8,0)),"UNMAPPED")</f>
        <v>Male</v>
      </c>
      <c r="E72" s="7" t="n">
        <f aca="false">'Raw_Data (Before)'!E72</f>
        <v>27</v>
      </c>
      <c r="F72" s="7" t="str">
        <f aca="false">IF(E72="","No",IF(OR(E72&lt;16,E72&gt;75),"No","Yes"))</f>
        <v>Yes</v>
      </c>
      <c r="G72" s="7" t="n">
        <f aca="false">IFERROR(VALUE(SUBSTITUTE(SUBSTITUTE('Raw_Data (Before)'!F72,"₦",""),",","")),"")</f>
        <v>291421</v>
      </c>
      <c r="H72" s="7" t="str">
        <f aca="false">IF(G72="","No",IF(OR(G72&lt;=0,G72&gt;5000000),"No","Yes"))</f>
        <v>Yes</v>
      </c>
      <c r="I72" s="8" t="n">
        <f aca="false">IFERROR(DATEVALUE('Raw_Data (Before)'!G72),"")</f>
        <v>43948</v>
      </c>
      <c r="J72" s="7" t="str">
        <f aca="false">IF(I72="","No","Yes")</f>
        <v>Yes</v>
      </c>
      <c r="K72" s="7" t="str">
        <f aca="false">IF(OR(ISERROR(FIND("@",'Raw_Data (Before)'!H72)),ISNUMBER(FIND("@@",'Raw_Data (Before)'!H72)),ISNUMBER(FIND(" ",'Raw_Data (Before)'!H72)),ISERROR(FIND(".",'Raw_Data (Before)'!H72,FIND("@",'Raw_Data (Before)'!H72)))),"No","Yes")</f>
        <v>Yes</v>
      </c>
      <c r="L72" s="7" t="str">
        <f aca="false">IFERROR(INDEX(Lookup_Tables!$H$5:$H$9,MATCH(UPPER(TRIM('Raw_Data (Before)'!I72)),Lookup_Tables!$G$5:$G$9,0)),"UNMAPPED")</f>
        <v>Active</v>
      </c>
      <c r="M72" s="7" t="str">
        <f aca="false">IF(COUNTIF('Raw_Data (Before)'!$A$5:$A$424,A72)&gt;1,"YES","No")</f>
        <v>No</v>
      </c>
      <c r="N72" s="7" t="str">
        <f aca="false">IF(OR(C72="UNMAPPED",D72="UNMAPPED",F72="No",H72="No",J72="No",K72="No",L72="UNMAPPED",M72="YES"),"NEEDS REVIEW","OK")</f>
        <v>OK</v>
      </c>
    </row>
    <row r="73" customFormat="false" ht="15" hidden="false" customHeight="false" outlineLevel="0" collapsed="false">
      <c r="A73" s="7" t="str">
        <f aca="false">'Raw_Data (Before)'!A73</f>
        <v>EMP0198</v>
      </c>
      <c r="B73" s="7" t="str">
        <f aca="false">PROPER(TRIM('Raw_Data (Before)'!B73))</f>
        <v>Grace Yakubu</v>
      </c>
      <c r="C73" s="7" t="str">
        <f aca="false">IFERROR(INDEX(Lookup_Tables!$B$5:$B$24,MATCH(UPPER(TRIM('Raw_Data (Before)'!C73)),Lookup_Tables!$A$5:$A$24,0)),"UNMAPPED")</f>
        <v>Sales</v>
      </c>
      <c r="D73" s="7" t="str">
        <f aca="false">IFERROR(INDEX(Lookup_Tables!$E$5:$E$8,MATCH(UPPER(TRIM('Raw_Data (Before)'!D73)),Lookup_Tables!$D$5:$D$8,0)),"UNMAPPED")</f>
        <v>Female</v>
      </c>
      <c r="E73" s="7" t="n">
        <f aca="false">'Raw_Data (Before)'!E73</f>
        <v>58</v>
      </c>
      <c r="F73" s="7" t="str">
        <f aca="false">IF(E73="","No",IF(OR(E73&lt;16,E73&gt;75),"No","Yes"))</f>
        <v>Yes</v>
      </c>
      <c r="G73" s="7" t="n">
        <f aca="false">IFERROR(VALUE(SUBSTITUTE(SUBSTITUTE('Raw_Data (Before)'!F73,"₦",""),",","")),"")</f>
        <v>342419</v>
      </c>
      <c r="H73" s="7" t="str">
        <f aca="false">IF(G73="","No",IF(OR(G73&lt;=0,G73&gt;5000000),"No","Yes"))</f>
        <v>Yes</v>
      </c>
      <c r="I73" s="8" t="n">
        <f aca="false">IFERROR(DATEVALUE('Raw_Data (Before)'!G73),"")</f>
        <v>45843</v>
      </c>
      <c r="J73" s="7" t="str">
        <f aca="false">IF(I73="","No","Yes")</f>
        <v>Yes</v>
      </c>
      <c r="K73" s="7" t="str">
        <f aca="false">IF(OR(ISERROR(FIND("@",'Raw_Data (Before)'!H73)),ISNUMBER(FIND("@@",'Raw_Data (Before)'!H73)),ISNUMBER(FIND(" ",'Raw_Data (Before)'!H73)),ISERROR(FIND(".",'Raw_Data (Before)'!H73,FIND("@",'Raw_Data (Before)'!H73)))),"No","Yes")</f>
        <v>Yes</v>
      </c>
      <c r="L73" s="7" t="str">
        <f aca="false">IFERROR(INDEX(Lookup_Tables!$H$5:$H$9,MATCH(UPPER(TRIM('Raw_Data (Before)'!I73)),Lookup_Tables!$G$5:$G$9,0)),"UNMAPPED")</f>
        <v>Active</v>
      </c>
      <c r="M73" s="7" t="str">
        <f aca="false">IF(COUNTIF('Raw_Data (Before)'!$A$5:$A$424,A73)&gt;1,"YES","No")</f>
        <v>No</v>
      </c>
      <c r="N73" s="7" t="str">
        <f aca="false">IF(OR(C73="UNMAPPED",D73="UNMAPPED",F73="No",H73="No",J73="No",K73="No",L73="UNMAPPED",M73="YES"),"NEEDS REVIEW","OK")</f>
        <v>OK</v>
      </c>
    </row>
    <row r="74" customFormat="false" ht="15" hidden="false" customHeight="false" outlineLevel="0" collapsed="false">
      <c r="A74" s="7" t="str">
        <f aca="false">'Raw_Data (Before)'!A74</f>
        <v>EMP0231</v>
      </c>
      <c r="B74" s="7" t="str">
        <f aca="false">PROPER(TRIM('Raw_Data (Before)'!B74))</f>
        <v>Esther Chukwu</v>
      </c>
      <c r="C74" s="7" t="str">
        <f aca="false">IFERROR(INDEX(Lookup_Tables!$B$5:$B$24,MATCH(UPPER(TRIM('Raw_Data (Before)'!C74)),Lookup_Tables!$A$5:$A$24,0)),"UNMAPPED")</f>
        <v>Sales</v>
      </c>
      <c r="D74" s="7" t="str">
        <f aca="false">IFERROR(INDEX(Lookup_Tables!$E$5:$E$8,MATCH(UPPER(TRIM('Raw_Data (Before)'!D74)),Lookup_Tables!$D$5:$D$8,0)),"UNMAPPED")</f>
        <v>Female</v>
      </c>
      <c r="E74" s="7" t="n">
        <f aca="false">'Raw_Data (Before)'!E74</f>
        <v>58</v>
      </c>
      <c r="F74" s="7" t="str">
        <f aca="false">IF(E74="","No",IF(OR(E74&lt;16,E74&gt;75),"No","Yes"))</f>
        <v>Yes</v>
      </c>
      <c r="G74" s="7" t="n">
        <f aca="false">IFERROR(VALUE(SUBSTITUTE(SUBSTITUTE('Raw_Data (Before)'!F74,"₦",""),",","")),"")</f>
        <v>215763</v>
      </c>
      <c r="H74" s="7" t="str">
        <f aca="false">IF(G74="","No",IF(OR(G74&lt;=0,G74&gt;5000000),"No","Yes"))</f>
        <v>Yes</v>
      </c>
      <c r="I74" s="8" t="str">
        <f aca="false">IFERROR(DATEVALUE('Raw_Data (Before)'!G74),"")</f>
        <v/>
      </c>
      <c r="J74" s="7" t="str">
        <f aca="false">IF(I74="","No","Yes")</f>
        <v>No</v>
      </c>
      <c r="K74" s="7" t="str">
        <f aca="false">IF(OR(ISERROR(FIND("@",'Raw_Data (Before)'!H74)),ISNUMBER(FIND("@@",'Raw_Data (Before)'!H74)),ISNUMBER(FIND(" ",'Raw_Data (Before)'!H74)),ISERROR(FIND(".",'Raw_Data (Before)'!H74,FIND("@",'Raw_Data (Before)'!H74)))),"No","Yes")</f>
        <v>Yes</v>
      </c>
      <c r="L74" s="7" t="str">
        <f aca="false">IFERROR(INDEX(Lookup_Tables!$H$5:$H$9,MATCH(UPPER(TRIM('Raw_Data (Before)'!I74)),Lookup_Tables!$G$5:$G$9,0)),"UNMAPPED")</f>
        <v>Active</v>
      </c>
      <c r="M74" s="7" t="str">
        <f aca="false">IF(COUNTIF('Raw_Data (Before)'!$A$5:$A$424,A74)&gt;1,"YES","No")</f>
        <v>No</v>
      </c>
      <c r="N74" s="7" t="str">
        <f aca="false">IF(OR(C74="UNMAPPED",D74="UNMAPPED",F74="No",H74="No",J74="No",K74="No",L74="UNMAPPED",M74="YES"),"NEEDS REVIEW","OK")</f>
        <v>NEEDS REVIEW</v>
      </c>
    </row>
    <row r="75" customFormat="false" ht="15" hidden="false" customHeight="false" outlineLevel="0" collapsed="false">
      <c r="A75" s="7" t="str">
        <f aca="false">'Raw_Data (Before)'!A75</f>
        <v>EMP0134</v>
      </c>
      <c r="B75" s="7" t="str">
        <f aca="false">PROPER(TRIM('Raw_Data (Before)'!B75))</f>
        <v>Comfort Lawal</v>
      </c>
      <c r="C75" s="7" t="str">
        <f aca="false">IFERROR(INDEX(Lookup_Tables!$B$5:$B$24,MATCH(UPPER(TRIM('Raw_Data (Before)'!C75)),Lookup_Tables!$A$5:$A$24,0)),"UNMAPPED")</f>
        <v>HR</v>
      </c>
      <c r="D75" s="7" t="str">
        <f aca="false">IFERROR(INDEX(Lookup_Tables!$E$5:$E$8,MATCH(UPPER(TRIM('Raw_Data (Before)'!D75)),Lookup_Tables!$D$5:$D$8,0)),"UNMAPPED")</f>
        <v>Female</v>
      </c>
      <c r="E75" s="7" t="n">
        <f aca="false">'Raw_Data (Before)'!E75</f>
        <v>36</v>
      </c>
      <c r="F75" s="7" t="str">
        <f aca="false">IF(E75="","No",IF(OR(E75&lt;16,E75&gt;75),"No","Yes"))</f>
        <v>Yes</v>
      </c>
      <c r="G75" s="7" t="n">
        <f aca="false">IFERROR(VALUE(SUBSTITUTE(SUBSTITUTE('Raw_Data (Before)'!F75,"₦",""),",","")),"")</f>
        <v>926781</v>
      </c>
      <c r="H75" s="7" t="str">
        <f aca="false">IF(G75="","No",IF(OR(G75&lt;=0,G75&gt;5000000),"No","Yes"))</f>
        <v>Yes</v>
      </c>
      <c r="I75" s="8" t="n">
        <f aca="false">IFERROR(DATEVALUE('Raw_Data (Before)'!G75),"")</f>
        <v>45072</v>
      </c>
      <c r="J75" s="7" t="str">
        <f aca="false">IF(I75="","No","Yes")</f>
        <v>Yes</v>
      </c>
      <c r="K75" s="7" t="str">
        <f aca="false">IF(OR(ISERROR(FIND("@",'Raw_Data (Before)'!H75)),ISNUMBER(FIND("@@",'Raw_Data (Before)'!H75)),ISNUMBER(FIND(" ",'Raw_Data (Before)'!H75)),ISERROR(FIND(".",'Raw_Data (Before)'!H75,FIND("@",'Raw_Data (Before)'!H75)))),"No","Yes")</f>
        <v>Yes</v>
      </c>
      <c r="L75" s="7" t="str">
        <f aca="false">IFERROR(INDEX(Lookup_Tables!$H$5:$H$9,MATCH(UPPER(TRIM('Raw_Data (Before)'!I75)),Lookup_Tables!$G$5:$G$9,0)),"UNMAPPED")</f>
        <v>Active</v>
      </c>
      <c r="M75" s="7" t="str">
        <f aca="false">IF(COUNTIF('Raw_Data (Before)'!$A$5:$A$424,A75)&gt;1,"YES","No")</f>
        <v>No</v>
      </c>
      <c r="N75" s="7" t="str">
        <f aca="false">IF(OR(C75="UNMAPPED",D75="UNMAPPED",F75="No",H75="No",J75="No",K75="No",L75="UNMAPPED",M75="YES"),"NEEDS REVIEW","OK")</f>
        <v>OK</v>
      </c>
    </row>
    <row r="76" customFormat="false" ht="15" hidden="false" customHeight="false" outlineLevel="0" collapsed="false">
      <c r="A76" s="7" t="str">
        <f aca="false">'Raw_Data (Before)'!A76</f>
        <v>EMP0222</v>
      </c>
      <c r="B76" s="7" t="str">
        <f aca="false">PROPER(TRIM('Raw_Data (Before)'!B76))</f>
        <v>James Sani</v>
      </c>
      <c r="C76" s="7" t="str">
        <f aca="false">IFERROR(INDEX(Lookup_Tables!$B$5:$B$24,MATCH(UPPER(TRIM('Raw_Data (Before)'!C76)),Lookup_Tables!$A$5:$A$24,0)),"UNMAPPED")</f>
        <v>Sales</v>
      </c>
      <c r="D76" s="7" t="str">
        <f aca="false">IFERROR(INDEX(Lookup_Tables!$E$5:$E$8,MATCH(UPPER(TRIM('Raw_Data (Before)'!D76)),Lookup_Tables!$D$5:$D$8,0)),"UNMAPPED")</f>
        <v>Male</v>
      </c>
      <c r="E76" s="7" t="n">
        <f aca="false">'Raw_Data (Before)'!E76</f>
        <v>46</v>
      </c>
      <c r="F76" s="7" t="str">
        <f aca="false">IF(E76="","No",IF(OR(E76&lt;16,E76&gt;75),"No","Yes"))</f>
        <v>Yes</v>
      </c>
      <c r="G76" s="7" t="n">
        <f aca="false">IFERROR(VALUE(SUBSTITUTE(SUBSTITUTE('Raw_Data (Before)'!F76,"₦",""),",","")),"")</f>
        <v>522458</v>
      </c>
      <c r="H76" s="7" t="str">
        <f aca="false">IF(G76="","No",IF(OR(G76&lt;=0,G76&gt;5000000),"No","Yes"))</f>
        <v>Yes</v>
      </c>
      <c r="I76" s="8" t="n">
        <f aca="false">IFERROR(DATEVALUE('Raw_Data (Before)'!G76),"")</f>
        <v>44781</v>
      </c>
      <c r="J76" s="7" t="str">
        <f aca="false">IF(I76="","No","Yes")</f>
        <v>Yes</v>
      </c>
      <c r="K76" s="7" t="str">
        <f aca="false">IF(OR(ISERROR(FIND("@",'Raw_Data (Before)'!H76)),ISNUMBER(FIND("@@",'Raw_Data (Before)'!H76)),ISNUMBER(FIND(" ",'Raw_Data (Before)'!H76)),ISERROR(FIND(".",'Raw_Data (Before)'!H76,FIND("@",'Raw_Data (Before)'!H76)))),"No","Yes")</f>
        <v>Yes</v>
      </c>
      <c r="L76" s="7" t="str">
        <f aca="false">IFERROR(INDEX(Lookup_Tables!$H$5:$H$9,MATCH(UPPER(TRIM('Raw_Data (Before)'!I76)),Lookup_Tables!$G$5:$G$9,0)),"UNMAPPED")</f>
        <v>Active</v>
      </c>
      <c r="M76" s="7" t="str">
        <f aca="false">IF(COUNTIF('Raw_Data (Before)'!$A$5:$A$424,A76)&gt;1,"YES","No")</f>
        <v>No</v>
      </c>
      <c r="N76" s="7" t="str">
        <f aca="false">IF(OR(C76="UNMAPPED",D76="UNMAPPED",F76="No",H76="No",J76="No",K76="No",L76="UNMAPPED",M76="YES"),"NEEDS REVIEW","OK")</f>
        <v>OK</v>
      </c>
    </row>
    <row r="77" customFormat="false" ht="15" hidden="false" customHeight="false" outlineLevel="0" collapsed="false">
      <c r="A77" s="7" t="str">
        <f aca="false">'Raw_Data (Before)'!A77</f>
        <v>EMP0021</v>
      </c>
      <c r="B77" s="7" t="str">
        <f aca="false">PROPER(TRIM('Raw_Data (Before)'!B77))</f>
        <v>Bisi Ajayi</v>
      </c>
      <c r="C77" s="7" t="str">
        <f aca="false">IFERROR(INDEX(Lookup_Tables!$B$5:$B$24,MATCH(UPPER(TRIM('Raw_Data (Before)'!C77)),Lookup_Tables!$A$5:$A$24,0)),"UNMAPPED")</f>
        <v>Finance</v>
      </c>
      <c r="D77" s="7" t="str">
        <f aca="false">IFERROR(INDEX(Lookup_Tables!$E$5:$E$8,MATCH(UPPER(TRIM('Raw_Data (Before)'!D77)),Lookup_Tables!$D$5:$D$8,0)),"UNMAPPED")</f>
        <v>Male</v>
      </c>
      <c r="E77" s="7" t="n">
        <f aca="false">'Raw_Data (Before)'!E77</f>
        <v>53</v>
      </c>
      <c r="F77" s="7" t="str">
        <f aca="false">IF(E77="","No",IF(OR(E77&lt;16,E77&gt;75),"No","Yes"))</f>
        <v>Yes</v>
      </c>
      <c r="G77" s="7" t="n">
        <f aca="false">IFERROR(VALUE(SUBSTITUTE(SUBSTITUTE('Raw_Data (Before)'!F77,"₦",""),",","")),"")</f>
        <v>715581</v>
      </c>
      <c r="H77" s="7" t="str">
        <f aca="false">IF(G77="","No",IF(OR(G77&lt;=0,G77&gt;5000000),"No","Yes"))</f>
        <v>Yes</v>
      </c>
      <c r="I77" s="8" t="n">
        <f aca="false">IFERROR(DATEVALUE('Raw_Data (Before)'!G77),"")</f>
        <v>43360</v>
      </c>
      <c r="J77" s="7" t="str">
        <f aca="false">IF(I77="","No","Yes")</f>
        <v>Yes</v>
      </c>
      <c r="K77" s="7" t="str">
        <f aca="false">IF(OR(ISERROR(FIND("@",'Raw_Data (Before)'!H77)),ISNUMBER(FIND("@@",'Raw_Data (Before)'!H77)),ISNUMBER(FIND(" ",'Raw_Data (Before)'!H77)),ISERROR(FIND(".",'Raw_Data (Before)'!H77,FIND("@",'Raw_Data (Before)'!H77)))),"No","Yes")</f>
        <v>Yes</v>
      </c>
      <c r="L77" s="7" t="str">
        <f aca="false">IFERROR(INDEX(Lookup_Tables!$H$5:$H$9,MATCH(UPPER(TRIM('Raw_Data (Before)'!I77)),Lookup_Tables!$G$5:$G$9,0)),"UNMAPPED")</f>
        <v>Active</v>
      </c>
      <c r="M77" s="7" t="str">
        <f aca="false">IF(COUNTIF('Raw_Data (Before)'!$A$5:$A$424,A77)&gt;1,"YES","No")</f>
        <v>No</v>
      </c>
      <c r="N77" s="7" t="str">
        <f aca="false">IF(OR(C77="UNMAPPED",D77="UNMAPPED",F77="No",H77="No",J77="No",K77="No",L77="UNMAPPED",M77="YES"),"NEEDS REVIEW","OK")</f>
        <v>OK</v>
      </c>
    </row>
    <row r="78" customFormat="false" ht="15" hidden="false" customHeight="false" outlineLevel="0" collapsed="false">
      <c r="A78" s="7" t="str">
        <f aca="false">'Raw_Data (Before)'!A78</f>
        <v>EMP0184</v>
      </c>
      <c r="B78" s="7" t="str">
        <f aca="false">PROPER(TRIM('Raw_Data (Before)'!B78))</f>
        <v>Yusuf Adeyemi</v>
      </c>
      <c r="C78" s="7" t="str">
        <f aca="false">IFERROR(INDEX(Lookup_Tables!$B$5:$B$24,MATCH(UPPER(TRIM('Raw_Data (Before)'!C78)),Lookup_Tables!$A$5:$A$24,0)),"UNMAPPED")</f>
        <v>Sales</v>
      </c>
      <c r="D78" s="7" t="str">
        <f aca="false">IFERROR(INDEX(Lookup_Tables!$E$5:$E$8,MATCH(UPPER(TRIM('Raw_Data (Before)'!D78)),Lookup_Tables!$D$5:$D$8,0)),"UNMAPPED")</f>
        <v>Female</v>
      </c>
      <c r="E78" s="7" t="n">
        <f aca="false">'Raw_Data (Before)'!E78</f>
        <v>52</v>
      </c>
      <c r="F78" s="7" t="str">
        <f aca="false">IF(E78="","No",IF(OR(E78&lt;16,E78&gt;75),"No","Yes"))</f>
        <v>Yes</v>
      </c>
      <c r="G78" s="7" t="n">
        <f aca="false">IFERROR(VALUE(SUBSTITUTE(SUBSTITUTE('Raw_Data (Before)'!F78,"₦",""),",","")),"")</f>
        <v>535334</v>
      </c>
      <c r="H78" s="7" t="str">
        <f aca="false">IF(G78="","No",IF(OR(G78&lt;=0,G78&gt;5000000),"No","Yes"))</f>
        <v>Yes</v>
      </c>
      <c r="I78" s="8" t="n">
        <f aca="false">IFERROR(DATEVALUE('Raw_Data (Before)'!G78),"")</f>
        <v>45409</v>
      </c>
      <c r="J78" s="7" t="str">
        <f aca="false">IF(I78="","No","Yes")</f>
        <v>Yes</v>
      </c>
      <c r="K78" s="7" t="str">
        <f aca="false">IF(OR(ISERROR(FIND("@",'Raw_Data (Before)'!H78)),ISNUMBER(FIND("@@",'Raw_Data (Before)'!H78)),ISNUMBER(FIND(" ",'Raw_Data (Before)'!H78)),ISERROR(FIND(".",'Raw_Data (Before)'!H78,FIND("@",'Raw_Data (Before)'!H78)))),"No","Yes")</f>
        <v>Yes</v>
      </c>
      <c r="L78" s="7" t="str">
        <f aca="false">IFERROR(INDEX(Lookup_Tables!$H$5:$H$9,MATCH(UPPER(TRIM('Raw_Data (Before)'!I78)),Lookup_Tables!$G$5:$G$9,0)),"UNMAPPED")</f>
        <v>Active</v>
      </c>
      <c r="M78" s="7" t="str">
        <f aca="false">IF(COUNTIF('Raw_Data (Before)'!$A$5:$A$424,A78)&gt;1,"YES","No")</f>
        <v>YES</v>
      </c>
      <c r="N78" s="7" t="str">
        <f aca="false">IF(OR(C78="UNMAPPED",D78="UNMAPPED",F78="No",H78="No",J78="No",K78="No",L78="UNMAPPED",M78="YES"),"NEEDS REVIEW","OK")</f>
        <v>NEEDS REVIEW</v>
      </c>
    </row>
    <row r="79" customFormat="false" ht="15" hidden="false" customHeight="false" outlineLevel="0" collapsed="false">
      <c r="A79" s="7" t="str">
        <f aca="false">'Raw_Data (Before)'!A79</f>
        <v>EMP0327</v>
      </c>
      <c r="B79" s="7" t="str">
        <f aca="false">PROPER(TRIM('Raw_Data (Before)'!B79))</f>
        <v>Bisi Umeh</v>
      </c>
      <c r="C79" s="7" t="str">
        <f aca="false">IFERROR(INDEX(Lookup_Tables!$B$5:$B$24,MATCH(UPPER(TRIM('Raw_Data (Before)'!C79)),Lookup_Tables!$A$5:$A$24,0)),"UNMAPPED")</f>
        <v>IT</v>
      </c>
      <c r="D79" s="7" t="str">
        <f aca="false">IFERROR(INDEX(Lookup_Tables!$E$5:$E$8,MATCH(UPPER(TRIM('Raw_Data (Before)'!D79)),Lookup_Tables!$D$5:$D$8,0)),"UNMAPPED")</f>
        <v>Male</v>
      </c>
      <c r="E79" s="7" t="n">
        <f aca="false">'Raw_Data (Before)'!E79</f>
        <v>28</v>
      </c>
      <c r="F79" s="7" t="str">
        <f aca="false">IF(E79="","No",IF(OR(E79&lt;16,E79&gt;75),"No","Yes"))</f>
        <v>Yes</v>
      </c>
      <c r="G79" s="7" t="n">
        <f aca="false">IFERROR(VALUE(SUBSTITUTE(SUBSTITUTE('Raw_Data (Before)'!F79,"₦",""),",","")),"")</f>
        <v>903147</v>
      </c>
      <c r="H79" s="7" t="str">
        <f aca="false">IF(G79="","No",IF(OR(G79&lt;=0,G79&gt;5000000),"No","Yes"))</f>
        <v>Yes</v>
      </c>
      <c r="I79" s="8" t="n">
        <f aca="false">IFERROR(DATEVALUE('Raw_Data (Before)'!G79),"")</f>
        <v>45110</v>
      </c>
      <c r="J79" s="7" t="str">
        <f aca="false">IF(I79="","No","Yes")</f>
        <v>Yes</v>
      </c>
      <c r="K79" s="7" t="str">
        <f aca="false">IF(OR(ISERROR(FIND("@",'Raw_Data (Before)'!H79)),ISNUMBER(FIND("@@",'Raw_Data (Before)'!H79)),ISNUMBER(FIND(" ",'Raw_Data (Before)'!H79)),ISERROR(FIND(".",'Raw_Data (Before)'!H79,FIND("@",'Raw_Data (Before)'!H79)))),"No","Yes")</f>
        <v>Yes</v>
      </c>
      <c r="L79" s="7" t="str">
        <f aca="false">IFERROR(INDEX(Lookup_Tables!$H$5:$H$9,MATCH(UPPER(TRIM('Raw_Data (Before)'!I79)),Lookup_Tables!$G$5:$G$9,0)),"UNMAPPED")</f>
        <v>Inactive</v>
      </c>
      <c r="M79" s="7" t="str">
        <f aca="false">IF(COUNTIF('Raw_Data (Before)'!$A$5:$A$424,A79)&gt;1,"YES","No")</f>
        <v>No</v>
      </c>
      <c r="N79" s="7" t="str">
        <f aca="false">IF(OR(C79="UNMAPPED",D79="UNMAPPED",F79="No",H79="No",J79="No",K79="No",L79="UNMAPPED",M79="YES"),"NEEDS REVIEW","OK")</f>
        <v>OK</v>
      </c>
    </row>
    <row r="80" customFormat="false" ht="15" hidden="false" customHeight="false" outlineLevel="0" collapsed="false">
      <c r="A80" s="7" t="str">
        <f aca="false">'Raw_Data (Before)'!A80</f>
        <v>EMP0294</v>
      </c>
      <c r="B80" s="7" t="str">
        <f aca="false">PROPER(TRIM('Raw_Data (Before)'!B80))</f>
        <v>John Ajayi</v>
      </c>
      <c r="C80" s="7" t="str">
        <f aca="false">IFERROR(INDEX(Lookup_Tables!$B$5:$B$24,MATCH(UPPER(TRIM('Raw_Data (Before)'!C80)),Lookup_Tables!$A$5:$A$24,0)),"UNMAPPED")</f>
        <v>Operations</v>
      </c>
      <c r="D80" s="7" t="str">
        <f aca="false">IFERROR(INDEX(Lookup_Tables!$E$5:$E$8,MATCH(UPPER(TRIM('Raw_Data (Before)'!D80)),Lookup_Tables!$D$5:$D$8,0)),"UNMAPPED")</f>
        <v>Male</v>
      </c>
      <c r="E80" s="7" t="n">
        <f aca="false">'Raw_Data (Before)'!E80</f>
        <v>25</v>
      </c>
      <c r="F80" s="7" t="str">
        <f aca="false">IF(E80="","No",IF(OR(E80&lt;16,E80&gt;75),"No","Yes"))</f>
        <v>Yes</v>
      </c>
      <c r="G80" s="7" t="n">
        <f aca="false">IFERROR(VALUE(SUBSTITUTE(SUBSTITUTE('Raw_Data (Before)'!F80,"₦",""),",","")),"")</f>
        <v>64337900</v>
      </c>
      <c r="H80" s="7" t="str">
        <f aca="false">IF(G80="","No",IF(OR(G80&lt;=0,G80&gt;5000000),"No","Yes"))</f>
        <v>No</v>
      </c>
      <c r="I80" s="8" t="n">
        <f aca="false">IFERROR(DATEVALUE('Raw_Data (Before)'!G80),"")</f>
        <v>44841</v>
      </c>
      <c r="J80" s="7" t="str">
        <f aca="false">IF(I80="","No","Yes")</f>
        <v>Yes</v>
      </c>
      <c r="K80" s="7" t="str">
        <f aca="false">IF(OR(ISERROR(FIND("@",'Raw_Data (Before)'!H80)),ISNUMBER(FIND("@@",'Raw_Data (Before)'!H80)),ISNUMBER(FIND(" ",'Raw_Data (Before)'!H80)),ISERROR(FIND(".",'Raw_Data (Before)'!H80,FIND("@",'Raw_Data (Before)'!H80)))),"No","Yes")</f>
        <v>Yes</v>
      </c>
      <c r="L80" s="7" t="str">
        <f aca="false">IFERROR(INDEX(Lookup_Tables!$H$5:$H$9,MATCH(UPPER(TRIM('Raw_Data (Before)'!I80)),Lookup_Tables!$G$5:$G$9,0)),"UNMAPPED")</f>
        <v>Active</v>
      </c>
      <c r="M80" s="7" t="str">
        <f aca="false">IF(COUNTIF('Raw_Data (Before)'!$A$5:$A$424,A80)&gt;1,"YES","No")</f>
        <v>No</v>
      </c>
      <c r="N80" s="7" t="str">
        <f aca="false">IF(OR(C80="UNMAPPED",D80="UNMAPPED",F80="No",H80="No",J80="No",K80="No",L80="UNMAPPED",M80="YES"),"NEEDS REVIEW","OK")</f>
        <v>NEEDS REVIEW</v>
      </c>
    </row>
    <row r="81" customFormat="false" ht="15" hidden="false" customHeight="false" outlineLevel="0" collapsed="false">
      <c r="A81" s="7" t="str">
        <f aca="false">'Raw_Data (Before)'!A81</f>
        <v>EMP0002</v>
      </c>
      <c r="B81" s="7" t="str">
        <f aca="false">PROPER(TRIM('Raw_Data (Before)'!B81))</f>
        <v>Ibrahim Adeyemi</v>
      </c>
      <c r="C81" s="7" t="str">
        <f aca="false">IFERROR(INDEX(Lookup_Tables!$B$5:$B$24,MATCH(UPPER(TRIM('Raw_Data (Before)'!C81)),Lookup_Tables!$A$5:$A$24,0)),"UNMAPPED")</f>
        <v>Customer Service</v>
      </c>
      <c r="D81" s="7" t="str">
        <f aca="false">IFERROR(INDEX(Lookup_Tables!$E$5:$E$8,MATCH(UPPER(TRIM('Raw_Data (Before)'!D81)),Lookup_Tables!$D$5:$D$8,0)),"UNMAPPED")</f>
        <v>Male</v>
      </c>
      <c r="E81" s="7" t="n">
        <f aca="false">'Raw_Data (Before)'!E81</f>
        <v>35</v>
      </c>
      <c r="F81" s="7" t="str">
        <f aca="false">IF(E81="","No",IF(OR(E81&lt;16,E81&gt;75),"No","Yes"))</f>
        <v>Yes</v>
      </c>
      <c r="G81" s="7" t="n">
        <f aca="false">IFERROR(VALUE(SUBSTITUTE(SUBSTITUTE('Raw_Data (Before)'!F81,"₦",""),",","")),"")</f>
        <v>128845</v>
      </c>
      <c r="H81" s="7" t="str">
        <f aca="false">IF(G81="","No",IF(OR(G81&lt;=0,G81&gt;5000000),"No","Yes"))</f>
        <v>Yes</v>
      </c>
      <c r="I81" s="8" t="n">
        <f aca="false">IFERROR(DATEVALUE('Raw_Data (Before)'!G81),"")</f>
        <v>45464</v>
      </c>
      <c r="J81" s="7" t="str">
        <f aca="false">IF(I81="","No","Yes")</f>
        <v>Yes</v>
      </c>
      <c r="K81" s="7" t="str">
        <f aca="false">IF(OR(ISERROR(FIND("@",'Raw_Data (Before)'!H81)),ISNUMBER(FIND("@@",'Raw_Data (Before)'!H81)),ISNUMBER(FIND(" ",'Raw_Data (Before)'!H81)),ISERROR(FIND(".",'Raw_Data (Before)'!H81,FIND("@",'Raw_Data (Before)'!H81)))),"No","Yes")</f>
        <v>Yes</v>
      </c>
      <c r="L81" s="7" t="str">
        <f aca="false">IFERROR(INDEX(Lookup_Tables!$H$5:$H$9,MATCH(UPPER(TRIM('Raw_Data (Before)'!I81)),Lookup_Tables!$G$5:$G$9,0)),"UNMAPPED")</f>
        <v>Active</v>
      </c>
      <c r="M81" s="7" t="str">
        <f aca="false">IF(COUNTIF('Raw_Data (Before)'!$A$5:$A$424,A81)&gt;1,"YES","No")</f>
        <v>No</v>
      </c>
      <c r="N81" s="7" t="str">
        <f aca="false">IF(OR(C81="UNMAPPED",D81="UNMAPPED",F81="No",H81="No",J81="No",K81="No",L81="UNMAPPED",M81="YES"),"NEEDS REVIEW","OK")</f>
        <v>OK</v>
      </c>
    </row>
    <row r="82" customFormat="false" ht="15" hidden="false" customHeight="false" outlineLevel="0" collapsed="false">
      <c r="A82" s="7" t="str">
        <f aca="false">'Raw_Data (Before)'!A82</f>
        <v>EMP0297</v>
      </c>
      <c r="B82" s="7" t="str">
        <f aca="false">PROPER(TRIM('Raw_Data (Before)'!B82))</f>
        <v>Peter Okafor</v>
      </c>
      <c r="C82" s="7" t="str">
        <f aca="false">IFERROR(INDEX(Lookup_Tables!$B$5:$B$24,MATCH(UPPER(TRIM('Raw_Data (Before)'!C82)),Lookup_Tables!$A$5:$A$24,0)),"UNMAPPED")</f>
        <v>IT</v>
      </c>
      <c r="D82" s="7" t="str">
        <f aca="false">IFERROR(INDEX(Lookup_Tables!$E$5:$E$8,MATCH(UPPER(TRIM('Raw_Data (Before)'!D82)),Lookup_Tables!$D$5:$D$8,0)),"UNMAPPED")</f>
        <v>Female</v>
      </c>
      <c r="E82" s="7" t="n">
        <f aca="false">'Raw_Data (Before)'!E82</f>
        <v>25</v>
      </c>
      <c r="F82" s="7" t="str">
        <f aca="false">IF(E82="","No",IF(OR(E82&lt;16,E82&gt;75),"No","Yes"))</f>
        <v>Yes</v>
      </c>
      <c r="G82" s="7" t="n">
        <f aca="false">IFERROR(VALUE(SUBSTITUTE(SUBSTITUTE('Raw_Data (Before)'!F82,"₦",""),",","")),"")</f>
        <v>229141</v>
      </c>
      <c r="H82" s="7" t="str">
        <f aca="false">IF(G82="","No",IF(OR(G82&lt;=0,G82&gt;5000000),"No","Yes"))</f>
        <v>Yes</v>
      </c>
      <c r="I82" s="8" t="n">
        <f aca="false">IFERROR(DATEVALUE('Raw_Data (Before)'!G82),"")</f>
        <v>45383</v>
      </c>
      <c r="J82" s="7" t="str">
        <f aca="false">IF(I82="","No","Yes")</f>
        <v>Yes</v>
      </c>
      <c r="K82" s="7" t="str">
        <f aca="false">IF(OR(ISERROR(FIND("@",'Raw_Data (Before)'!H82)),ISNUMBER(FIND("@@",'Raw_Data (Before)'!H82)),ISNUMBER(FIND(" ",'Raw_Data (Before)'!H82)),ISERROR(FIND(".",'Raw_Data (Before)'!H82,FIND("@",'Raw_Data (Before)'!H82)))),"No","Yes")</f>
        <v>Yes</v>
      </c>
      <c r="L82" s="7" t="str">
        <f aca="false">IFERROR(INDEX(Lookup_Tables!$H$5:$H$9,MATCH(UPPER(TRIM('Raw_Data (Before)'!I82)),Lookup_Tables!$G$5:$G$9,0)),"UNMAPPED")</f>
        <v>Active</v>
      </c>
      <c r="M82" s="7" t="str">
        <f aca="false">IF(COUNTIF('Raw_Data (Before)'!$A$5:$A$424,A82)&gt;1,"YES","No")</f>
        <v>No</v>
      </c>
      <c r="N82" s="7" t="str">
        <f aca="false">IF(OR(C82="UNMAPPED",D82="UNMAPPED",F82="No",H82="No",J82="No",K82="No",L82="UNMAPPED",M82="YES"),"NEEDS REVIEW","OK")</f>
        <v>OK</v>
      </c>
    </row>
    <row r="83" customFormat="false" ht="15" hidden="false" customHeight="false" outlineLevel="0" collapsed="false">
      <c r="A83" s="7" t="str">
        <f aca="false">'Raw_Data (Before)'!A83</f>
        <v>EMP0048</v>
      </c>
      <c r="B83" s="7" t="str">
        <f aca="false">PROPER(TRIM('Raw_Data (Before)'!B83))</f>
        <v>Joy Uche</v>
      </c>
      <c r="C83" s="7" t="str">
        <f aca="false">IFERROR(INDEX(Lookup_Tables!$B$5:$B$24,MATCH(UPPER(TRIM('Raw_Data (Before)'!C83)),Lookup_Tables!$A$5:$A$24,0)),"UNMAPPED")</f>
        <v>Operations</v>
      </c>
      <c r="D83" s="7" t="str">
        <f aca="false">IFERROR(INDEX(Lookup_Tables!$E$5:$E$8,MATCH(UPPER(TRIM('Raw_Data (Before)'!D83)),Lookup_Tables!$D$5:$D$8,0)),"UNMAPPED")</f>
        <v>Male</v>
      </c>
      <c r="E83" s="7" t="n">
        <f aca="false">'Raw_Data (Before)'!E83</f>
        <v>48</v>
      </c>
      <c r="F83" s="7" t="str">
        <f aca="false">IF(E83="","No",IF(OR(E83&lt;16,E83&gt;75),"No","Yes"))</f>
        <v>Yes</v>
      </c>
      <c r="G83" s="7" t="n">
        <f aca="false">IFERROR(VALUE(SUBSTITUTE(SUBSTITUTE('Raw_Data (Before)'!F83,"₦",""),",","")),"")</f>
        <v>407172</v>
      </c>
      <c r="H83" s="7" t="str">
        <f aca="false">IF(G83="","No",IF(OR(G83&lt;=0,G83&gt;5000000),"No","Yes"))</f>
        <v>Yes</v>
      </c>
      <c r="I83" s="8" t="n">
        <f aca="false">IFERROR(DATEVALUE('Raw_Data (Before)'!G83),"")</f>
        <v>44676</v>
      </c>
      <c r="J83" s="7" t="str">
        <f aca="false">IF(I83="","No","Yes")</f>
        <v>Yes</v>
      </c>
      <c r="K83" s="7" t="str">
        <f aca="false">IF(OR(ISERROR(FIND("@",'Raw_Data (Before)'!H83)),ISNUMBER(FIND("@@",'Raw_Data (Before)'!H83)),ISNUMBER(FIND(" ",'Raw_Data (Before)'!H83)),ISERROR(FIND(".",'Raw_Data (Before)'!H83,FIND("@",'Raw_Data (Before)'!H83)))),"No","Yes")</f>
        <v>Yes</v>
      </c>
      <c r="L83" s="7" t="str">
        <f aca="false">IFERROR(INDEX(Lookup_Tables!$H$5:$H$9,MATCH(UPPER(TRIM('Raw_Data (Before)'!I83)),Lookup_Tables!$G$5:$G$9,0)),"UNMAPPED")</f>
        <v>Active</v>
      </c>
      <c r="M83" s="7" t="str">
        <f aca="false">IF(COUNTIF('Raw_Data (Before)'!$A$5:$A$424,A83)&gt;1,"YES","No")</f>
        <v>No</v>
      </c>
      <c r="N83" s="7" t="str">
        <f aca="false">IF(OR(C83="UNMAPPED",D83="UNMAPPED",F83="No",H83="No",J83="No",K83="No",L83="UNMAPPED",M83="YES"),"NEEDS REVIEW","OK")</f>
        <v>OK</v>
      </c>
    </row>
    <row r="84" customFormat="false" ht="15" hidden="false" customHeight="false" outlineLevel="0" collapsed="false">
      <c r="A84" s="7" t="str">
        <f aca="false">'Raw_Data (Before)'!A84</f>
        <v>EMP0011</v>
      </c>
      <c r="B84" s="7" t="str">
        <f aca="false">PROPER(TRIM('Raw_Data (Before)'!B84))</f>
        <v>Comfort Obi</v>
      </c>
      <c r="C84" s="7" t="str">
        <f aca="false">IFERROR(INDEX(Lookup_Tables!$B$5:$B$24,MATCH(UPPER(TRIM('Raw_Data (Before)'!C84)),Lookup_Tables!$A$5:$A$24,0)),"UNMAPPED")</f>
        <v>Sales</v>
      </c>
      <c r="D84" s="7" t="str">
        <f aca="false">IFERROR(INDEX(Lookup_Tables!$E$5:$E$8,MATCH(UPPER(TRIM('Raw_Data (Before)'!D84)),Lookup_Tables!$D$5:$D$8,0)),"UNMAPPED")</f>
        <v>Male</v>
      </c>
      <c r="E84" s="7" t="n">
        <f aca="false">'Raw_Data (Before)'!E84</f>
        <v>60</v>
      </c>
      <c r="F84" s="7" t="str">
        <f aca="false">IF(E84="","No",IF(OR(E84&lt;16,E84&gt;75),"No","Yes"))</f>
        <v>Yes</v>
      </c>
      <c r="G84" s="7" t="n">
        <f aca="false">IFERROR(VALUE(SUBSTITUTE(SUBSTITUTE('Raw_Data (Before)'!F84,"₦",""),",","")),"")</f>
        <v>-106739</v>
      </c>
      <c r="H84" s="7" t="str">
        <f aca="false">IF(G84="","No",IF(OR(G84&lt;=0,G84&gt;5000000),"No","Yes"))</f>
        <v>No</v>
      </c>
      <c r="I84" s="8" t="n">
        <f aca="false">IFERROR(DATEVALUE('Raw_Data (Before)'!G84),"")</f>
        <v>45474</v>
      </c>
      <c r="J84" s="7" t="str">
        <f aca="false">IF(I84="","No","Yes")</f>
        <v>Yes</v>
      </c>
      <c r="K84" s="7" t="str">
        <f aca="false">IF(OR(ISERROR(FIND("@",'Raw_Data (Before)'!H84)),ISNUMBER(FIND("@@",'Raw_Data (Before)'!H84)),ISNUMBER(FIND(" ",'Raw_Data (Before)'!H84)),ISERROR(FIND(".",'Raw_Data (Before)'!H84,FIND("@",'Raw_Data (Before)'!H84)))),"No","Yes")</f>
        <v>Yes</v>
      </c>
      <c r="L84" s="7" t="str">
        <f aca="false">IFERROR(INDEX(Lookup_Tables!$H$5:$H$9,MATCH(UPPER(TRIM('Raw_Data (Before)'!I84)),Lookup_Tables!$G$5:$G$9,0)),"UNMAPPED")</f>
        <v>Active</v>
      </c>
      <c r="M84" s="7" t="str">
        <f aca="false">IF(COUNTIF('Raw_Data (Before)'!$A$5:$A$424,A84)&gt;1,"YES","No")</f>
        <v>No</v>
      </c>
      <c r="N84" s="7" t="str">
        <f aca="false">IF(OR(C84="UNMAPPED",D84="UNMAPPED",F84="No",H84="No",J84="No",K84="No",L84="UNMAPPED",M84="YES"),"NEEDS REVIEW","OK")</f>
        <v>NEEDS REVIEW</v>
      </c>
    </row>
    <row r="85" customFormat="false" ht="15" hidden="false" customHeight="false" outlineLevel="0" collapsed="false">
      <c r="A85" s="7" t="str">
        <f aca="false">'Raw_Data (Before)'!A85</f>
        <v>EMP0340</v>
      </c>
      <c r="B85" s="7" t="str">
        <f aca="false">PROPER(TRIM('Raw_Data (Before)'!B85))</f>
        <v>Patience Okonkwo</v>
      </c>
      <c r="C85" s="7" t="str">
        <f aca="false">IFERROR(INDEX(Lookup_Tables!$B$5:$B$24,MATCH(UPPER(TRIM('Raw_Data (Before)'!C85)),Lookup_Tables!$A$5:$A$24,0)),"UNMAPPED")</f>
        <v>HR</v>
      </c>
      <c r="D85" s="7" t="str">
        <f aca="false">IFERROR(INDEX(Lookup_Tables!$E$5:$E$8,MATCH(UPPER(TRIM('Raw_Data (Before)'!D85)),Lookup_Tables!$D$5:$D$8,0)),"UNMAPPED")</f>
        <v>Male</v>
      </c>
      <c r="E85" s="7" t="n">
        <f aca="false">'Raw_Data (Before)'!E85</f>
        <v>57</v>
      </c>
      <c r="F85" s="7" t="str">
        <f aca="false">IF(E85="","No",IF(OR(E85&lt;16,E85&gt;75),"No","Yes"))</f>
        <v>Yes</v>
      </c>
      <c r="G85" s="7" t="n">
        <f aca="false">IFERROR(VALUE(SUBSTITUTE(SUBSTITUTE('Raw_Data (Before)'!F85,"₦",""),",","")),"")</f>
        <v>116579</v>
      </c>
      <c r="H85" s="7" t="str">
        <f aca="false">IF(G85="","No",IF(OR(G85&lt;=0,G85&gt;5000000),"No","Yes"))</f>
        <v>Yes</v>
      </c>
      <c r="I85" s="8" t="n">
        <f aca="false">IFERROR(DATEVALUE('Raw_Data (Before)'!G85),"")</f>
        <v>45799</v>
      </c>
      <c r="J85" s="7" t="str">
        <f aca="false">IF(I85="","No","Yes")</f>
        <v>Yes</v>
      </c>
      <c r="K85" s="7" t="str">
        <f aca="false">IF(OR(ISERROR(FIND("@",'Raw_Data (Before)'!H85)),ISNUMBER(FIND("@@",'Raw_Data (Before)'!H85)),ISNUMBER(FIND(" ",'Raw_Data (Before)'!H85)),ISERROR(FIND(".",'Raw_Data (Before)'!H85,FIND("@",'Raw_Data (Before)'!H85)))),"No","Yes")</f>
        <v>Yes</v>
      </c>
      <c r="L85" s="7" t="str">
        <f aca="false">IFERROR(INDEX(Lookup_Tables!$H$5:$H$9,MATCH(UPPER(TRIM('Raw_Data (Before)'!I85)),Lookup_Tables!$G$5:$G$9,0)),"UNMAPPED")</f>
        <v>Active</v>
      </c>
      <c r="M85" s="7" t="str">
        <f aca="false">IF(COUNTIF('Raw_Data (Before)'!$A$5:$A$424,A85)&gt;1,"YES","No")</f>
        <v>No</v>
      </c>
      <c r="N85" s="7" t="str">
        <f aca="false">IF(OR(C85="UNMAPPED",D85="UNMAPPED",F85="No",H85="No",J85="No",K85="No",L85="UNMAPPED",M85="YES"),"NEEDS REVIEW","OK")</f>
        <v>OK</v>
      </c>
    </row>
    <row r="86" customFormat="false" ht="15" hidden="false" customHeight="false" outlineLevel="0" collapsed="false">
      <c r="A86" s="7" t="str">
        <f aca="false">'Raw_Data (Before)'!A86</f>
        <v>EMP0373</v>
      </c>
      <c r="B86" s="7" t="str">
        <f aca="false">PROPER(TRIM('Raw_Data (Before)'!B86))</f>
        <v>Musa Uche</v>
      </c>
      <c r="C86" s="7" t="str">
        <f aca="false">IFERROR(INDEX(Lookup_Tables!$B$5:$B$24,MATCH(UPPER(TRIM('Raw_Data (Before)'!C86)),Lookup_Tables!$A$5:$A$24,0)),"UNMAPPED")</f>
        <v>Marketing</v>
      </c>
      <c r="D86" s="7" t="str">
        <f aca="false">IFERROR(INDEX(Lookup_Tables!$E$5:$E$8,MATCH(UPPER(TRIM('Raw_Data (Before)'!D86)),Lookup_Tables!$D$5:$D$8,0)),"UNMAPPED")</f>
        <v>Female</v>
      </c>
      <c r="E86" s="7" t="n">
        <f aca="false">'Raw_Data (Before)'!E86</f>
        <v>21</v>
      </c>
      <c r="F86" s="7" t="str">
        <f aca="false">IF(E86="","No",IF(OR(E86&lt;16,E86&gt;75),"No","Yes"))</f>
        <v>Yes</v>
      </c>
      <c r="G86" s="7" t="n">
        <f aca="false">IFERROR(VALUE(SUBSTITUTE(SUBSTITUTE('Raw_Data (Before)'!F86,"₦",""),",","")),"")</f>
        <v>620199</v>
      </c>
      <c r="H86" s="7" t="str">
        <f aca="false">IF(G86="","No",IF(OR(G86&lt;=0,G86&gt;5000000),"No","Yes"))</f>
        <v>Yes</v>
      </c>
      <c r="I86" s="8" t="n">
        <f aca="false">IFERROR(DATEVALUE('Raw_Data (Before)'!G86),"")</f>
        <v>44249</v>
      </c>
      <c r="J86" s="7" t="str">
        <f aca="false">IF(I86="","No","Yes")</f>
        <v>Yes</v>
      </c>
      <c r="K86" s="7" t="str">
        <f aca="false">IF(OR(ISERROR(FIND("@",'Raw_Data (Before)'!H86)),ISNUMBER(FIND("@@",'Raw_Data (Before)'!H86)),ISNUMBER(FIND(" ",'Raw_Data (Before)'!H86)),ISERROR(FIND(".",'Raw_Data (Before)'!H86,FIND("@",'Raw_Data (Before)'!H86)))),"No","Yes")</f>
        <v>Yes</v>
      </c>
      <c r="L86" s="7" t="str">
        <f aca="false">IFERROR(INDEX(Lookup_Tables!$H$5:$H$9,MATCH(UPPER(TRIM('Raw_Data (Before)'!I86)),Lookup_Tables!$G$5:$G$9,0)),"UNMAPPED")</f>
        <v>Inactive</v>
      </c>
      <c r="M86" s="7" t="str">
        <f aca="false">IF(COUNTIF('Raw_Data (Before)'!$A$5:$A$424,A86)&gt;1,"YES","No")</f>
        <v>No</v>
      </c>
      <c r="N86" s="7" t="str">
        <f aca="false">IF(OR(C86="UNMAPPED",D86="UNMAPPED",F86="No",H86="No",J86="No",K86="No",L86="UNMAPPED",M86="YES"),"NEEDS REVIEW","OK")</f>
        <v>OK</v>
      </c>
    </row>
    <row r="87" customFormat="false" ht="15" hidden="false" customHeight="false" outlineLevel="0" collapsed="false">
      <c r="A87" s="7" t="str">
        <f aca="false">'Raw_Data (Before)'!A87</f>
        <v>EMP0393</v>
      </c>
      <c r="B87" s="7" t="str">
        <f aca="false">PROPER(TRIM('Raw_Data (Before)'!B87))</f>
        <v>Emeka Bello</v>
      </c>
      <c r="C87" s="7" t="str">
        <f aca="false">IFERROR(INDEX(Lookup_Tables!$B$5:$B$24,MATCH(UPPER(TRIM('Raw_Data (Before)'!C87)),Lookup_Tables!$A$5:$A$24,0)),"UNMAPPED")</f>
        <v>Operations</v>
      </c>
      <c r="D87" s="7" t="str">
        <f aca="false">IFERROR(INDEX(Lookup_Tables!$E$5:$E$8,MATCH(UPPER(TRIM('Raw_Data (Before)'!D87)),Lookup_Tables!$D$5:$D$8,0)),"UNMAPPED")</f>
        <v>Female</v>
      </c>
      <c r="E87" s="7" t="n">
        <f aca="false">'Raw_Data (Before)'!E87</f>
        <v>31</v>
      </c>
      <c r="F87" s="7" t="str">
        <f aca="false">IF(E87="","No",IF(OR(E87&lt;16,E87&gt;75),"No","Yes"))</f>
        <v>Yes</v>
      </c>
      <c r="G87" s="7" t="n">
        <f aca="false">IFERROR(VALUE(SUBSTITUTE(SUBSTITUTE('Raw_Data (Before)'!F87,"₦",""),",","")),"")</f>
        <v>449332</v>
      </c>
      <c r="H87" s="7" t="str">
        <f aca="false">IF(G87="","No",IF(OR(G87&lt;=0,G87&gt;5000000),"No","Yes"))</f>
        <v>Yes</v>
      </c>
      <c r="I87" s="8" t="n">
        <f aca="false">IFERROR(DATEVALUE('Raw_Data (Before)'!G87),"")</f>
        <v>43731</v>
      </c>
      <c r="J87" s="7" t="str">
        <f aca="false">IF(I87="","No","Yes")</f>
        <v>Yes</v>
      </c>
      <c r="K87" s="7" t="str">
        <f aca="false">IF(OR(ISERROR(FIND("@",'Raw_Data (Before)'!H87)),ISNUMBER(FIND("@@",'Raw_Data (Before)'!H87)),ISNUMBER(FIND(" ",'Raw_Data (Before)'!H87)),ISERROR(FIND(".",'Raw_Data (Before)'!H87,FIND("@",'Raw_Data (Before)'!H87)))),"No","Yes")</f>
        <v>Yes</v>
      </c>
      <c r="L87" s="7" t="str">
        <f aca="false">IFERROR(INDEX(Lookup_Tables!$H$5:$H$9,MATCH(UPPER(TRIM('Raw_Data (Before)'!I87)),Lookup_Tables!$G$5:$G$9,0)),"UNMAPPED")</f>
        <v>Active</v>
      </c>
      <c r="M87" s="7" t="str">
        <f aca="false">IF(COUNTIF('Raw_Data (Before)'!$A$5:$A$424,A87)&gt;1,"YES","No")</f>
        <v>No</v>
      </c>
      <c r="N87" s="7" t="str">
        <f aca="false">IF(OR(C87="UNMAPPED",D87="UNMAPPED",F87="No",H87="No",J87="No",K87="No",L87="UNMAPPED",M87="YES"),"NEEDS REVIEW","OK")</f>
        <v>OK</v>
      </c>
    </row>
    <row r="88" customFormat="false" ht="15" hidden="false" customHeight="false" outlineLevel="0" collapsed="false">
      <c r="A88" s="7" t="str">
        <f aca="false">'Raw_Data (Before)'!A88</f>
        <v>EMP0254</v>
      </c>
      <c r="B88" s="7" t="str">
        <f aca="false">PROPER(TRIM('Raw_Data (Before)'!B88))</f>
        <v>Bisi Chukwu</v>
      </c>
      <c r="C88" s="7" t="str">
        <f aca="false">IFERROR(INDEX(Lookup_Tables!$B$5:$B$24,MATCH(UPPER(TRIM('Raw_Data (Before)'!C88)),Lookup_Tables!$A$5:$A$24,0)),"UNMAPPED")</f>
        <v>Customer Service</v>
      </c>
      <c r="D88" s="7" t="str">
        <f aca="false">IFERROR(INDEX(Lookup_Tables!$E$5:$E$8,MATCH(UPPER(TRIM('Raw_Data (Before)'!D88)),Lookup_Tables!$D$5:$D$8,0)),"UNMAPPED")</f>
        <v>Male</v>
      </c>
      <c r="E88" s="7" t="n">
        <f aca="false">'Raw_Data (Before)'!E88</f>
        <v>37</v>
      </c>
      <c r="F88" s="7" t="str">
        <f aca="false">IF(E88="","No",IF(OR(E88&lt;16,E88&gt;75),"No","Yes"))</f>
        <v>Yes</v>
      </c>
      <c r="G88" s="7" t="n">
        <f aca="false">IFERROR(VALUE(SUBSTITUTE(SUBSTITUTE('Raw_Data (Before)'!F88,"₦",""),",","")),"")</f>
        <v>948670</v>
      </c>
      <c r="H88" s="7" t="str">
        <f aca="false">IF(G88="","No",IF(OR(G88&lt;=0,G88&gt;5000000),"No","Yes"))</f>
        <v>Yes</v>
      </c>
      <c r="I88" s="8" t="n">
        <f aca="false">IFERROR(DATEVALUE('Raw_Data (Before)'!G88),"")</f>
        <v>45856</v>
      </c>
      <c r="J88" s="7" t="str">
        <f aca="false">IF(I88="","No","Yes")</f>
        <v>Yes</v>
      </c>
      <c r="K88" s="7" t="str">
        <f aca="false">IF(OR(ISERROR(FIND("@",'Raw_Data (Before)'!H88)),ISNUMBER(FIND("@@",'Raw_Data (Before)'!H88)),ISNUMBER(FIND(" ",'Raw_Data (Before)'!H88)),ISERROR(FIND(".",'Raw_Data (Before)'!H88,FIND("@",'Raw_Data (Before)'!H88)))),"No","Yes")</f>
        <v>Yes</v>
      </c>
      <c r="L88" s="7" t="str">
        <f aca="false">IFERROR(INDEX(Lookup_Tables!$H$5:$H$9,MATCH(UPPER(TRIM('Raw_Data (Before)'!I88)),Lookup_Tables!$G$5:$G$9,0)),"UNMAPPED")</f>
        <v>Active</v>
      </c>
      <c r="M88" s="7" t="str">
        <f aca="false">IF(COUNTIF('Raw_Data (Before)'!$A$5:$A$424,A88)&gt;1,"YES","No")</f>
        <v>No</v>
      </c>
      <c r="N88" s="7" t="str">
        <f aca="false">IF(OR(C88="UNMAPPED",D88="UNMAPPED",F88="No",H88="No",J88="No",K88="No",L88="UNMAPPED",M88="YES"),"NEEDS REVIEW","OK")</f>
        <v>OK</v>
      </c>
    </row>
    <row r="89" customFormat="false" ht="15" hidden="false" customHeight="false" outlineLevel="0" collapsed="false">
      <c r="A89" s="7" t="str">
        <f aca="false">'Raw_Data (Before)'!A89</f>
        <v>EMP0303</v>
      </c>
      <c r="B89" s="7" t="str">
        <f aca="false">PROPER(TRIM('Raw_Data (Before)'!B89))</f>
        <v>Ruth Eze</v>
      </c>
      <c r="C89" s="7" t="str">
        <f aca="false">IFERROR(INDEX(Lookup_Tables!$B$5:$B$24,MATCH(UPPER(TRIM('Raw_Data (Before)'!C89)),Lookup_Tables!$A$5:$A$24,0)),"UNMAPPED")</f>
        <v>Sales</v>
      </c>
      <c r="D89" s="7" t="str">
        <f aca="false">IFERROR(INDEX(Lookup_Tables!$E$5:$E$8,MATCH(UPPER(TRIM('Raw_Data (Before)'!D89)),Lookup_Tables!$D$5:$D$8,0)),"UNMAPPED")</f>
        <v>Female</v>
      </c>
      <c r="E89" s="7" t="n">
        <f aca="false">'Raw_Data (Before)'!E89</f>
        <v>46</v>
      </c>
      <c r="F89" s="7" t="str">
        <f aca="false">IF(E89="","No",IF(OR(E89&lt;16,E89&gt;75),"No","Yes"))</f>
        <v>Yes</v>
      </c>
      <c r="G89" s="7" t="n">
        <f aca="false">IFERROR(VALUE(SUBSTITUTE(SUBSTITUTE('Raw_Data (Before)'!F89,"₦",""),",","")),"")</f>
        <v>203489</v>
      </c>
      <c r="H89" s="7" t="str">
        <f aca="false">IF(G89="","No",IF(OR(G89&lt;=0,G89&gt;5000000),"No","Yes"))</f>
        <v>Yes</v>
      </c>
      <c r="I89" s="8" t="n">
        <f aca="false">IFERROR(DATEVALUE('Raw_Data (Before)'!G89),"")</f>
        <v>45375</v>
      </c>
      <c r="J89" s="7" t="str">
        <f aca="false">IF(I89="","No","Yes")</f>
        <v>Yes</v>
      </c>
      <c r="K89" s="7" t="str">
        <f aca="false">IF(OR(ISERROR(FIND("@",'Raw_Data (Before)'!H89)),ISNUMBER(FIND("@@",'Raw_Data (Before)'!H89)),ISNUMBER(FIND(" ",'Raw_Data (Before)'!H89)),ISERROR(FIND(".",'Raw_Data (Before)'!H89,FIND("@",'Raw_Data (Before)'!H89)))),"No","Yes")</f>
        <v>Yes</v>
      </c>
      <c r="L89" s="7" t="str">
        <f aca="false">IFERROR(INDEX(Lookup_Tables!$H$5:$H$9,MATCH(UPPER(TRIM('Raw_Data (Before)'!I89)),Lookup_Tables!$G$5:$G$9,0)),"UNMAPPED")</f>
        <v>Active</v>
      </c>
      <c r="M89" s="7" t="str">
        <f aca="false">IF(COUNTIF('Raw_Data (Before)'!$A$5:$A$424,A89)&gt;1,"YES","No")</f>
        <v>No</v>
      </c>
      <c r="N89" s="7" t="str">
        <f aca="false">IF(OR(C89="UNMAPPED",D89="UNMAPPED",F89="No",H89="No",J89="No",K89="No",L89="UNMAPPED",M89="YES"),"NEEDS REVIEW","OK")</f>
        <v>OK</v>
      </c>
    </row>
    <row r="90" customFormat="false" ht="15" hidden="false" customHeight="false" outlineLevel="0" collapsed="false">
      <c r="A90" s="7" t="str">
        <f aca="false">'Raw_Data (Before)'!A90</f>
        <v>EMP0060</v>
      </c>
      <c r="B90" s="7" t="str">
        <f aca="false">PROPER(TRIM('Raw_Data (Before)'!B90))</f>
        <v>Esther Sani</v>
      </c>
      <c r="C90" s="7" t="str">
        <f aca="false">IFERROR(INDEX(Lookup_Tables!$B$5:$B$24,MATCH(UPPER(TRIM('Raw_Data (Before)'!C90)),Lookup_Tables!$A$5:$A$24,0)),"UNMAPPED")</f>
        <v>HR</v>
      </c>
      <c r="D90" s="7" t="str">
        <f aca="false">IFERROR(INDEX(Lookup_Tables!$E$5:$E$8,MATCH(UPPER(TRIM('Raw_Data (Before)'!D90)),Lookup_Tables!$D$5:$D$8,0)),"UNMAPPED")</f>
        <v>Male</v>
      </c>
      <c r="E90" s="7" t="n">
        <f aca="false">'Raw_Data (Before)'!E90</f>
        <v>41</v>
      </c>
      <c r="F90" s="7" t="str">
        <f aca="false">IF(E90="","No",IF(OR(E90&lt;16,E90&gt;75),"No","Yes"))</f>
        <v>Yes</v>
      </c>
      <c r="G90" s="7" t="n">
        <f aca="false">IFERROR(VALUE(SUBSTITUTE(SUBSTITUTE('Raw_Data (Before)'!F90,"₦",""),",","")),"")</f>
        <v>563164</v>
      </c>
      <c r="H90" s="7" t="str">
        <f aca="false">IF(G90="","No",IF(OR(G90&lt;=0,G90&gt;5000000),"No","Yes"))</f>
        <v>Yes</v>
      </c>
      <c r="I90" s="8" t="n">
        <f aca="false">IFERROR(DATEVALUE('Raw_Data (Before)'!G90),"")</f>
        <v>43720</v>
      </c>
      <c r="J90" s="7" t="str">
        <f aca="false">IF(I90="","No","Yes")</f>
        <v>Yes</v>
      </c>
      <c r="K90" s="7" t="str">
        <f aca="false">IF(OR(ISERROR(FIND("@",'Raw_Data (Before)'!H90)),ISNUMBER(FIND("@@",'Raw_Data (Before)'!H90)),ISNUMBER(FIND(" ",'Raw_Data (Before)'!H90)),ISERROR(FIND(".",'Raw_Data (Before)'!H90,FIND("@",'Raw_Data (Before)'!H90)))),"No","Yes")</f>
        <v>Yes</v>
      </c>
      <c r="L90" s="7" t="str">
        <f aca="false">IFERROR(INDEX(Lookup_Tables!$H$5:$H$9,MATCH(UPPER(TRIM('Raw_Data (Before)'!I90)),Lookup_Tables!$G$5:$G$9,0)),"UNMAPPED")</f>
        <v>Active</v>
      </c>
      <c r="M90" s="7" t="str">
        <f aca="false">IF(COUNTIF('Raw_Data (Before)'!$A$5:$A$424,A90)&gt;1,"YES","No")</f>
        <v>No</v>
      </c>
      <c r="N90" s="7" t="str">
        <f aca="false">IF(OR(C90="UNMAPPED",D90="UNMAPPED",F90="No",H90="No",J90="No",K90="No",L90="UNMAPPED",M90="YES"),"NEEDS REVIEW","OK")</f>
        <v>OK</v>
      </c>
    </row>
    <row r="91" customFormat="false" ht="15" hidden="false" customHeight="false" outlineLevel="0" collapsed="false">
      <c r="A91" s="7" t="str">
        <f aca="false">'Raw_Data (Before)'!A91</f>
        <v>EMP0383</v>
      </c>
      <c r="B91" s="7" t="str">
        <f aca="false">PROPER(TRIM('Raw_Data (Before)'!B91))</f>
        <v>David Adeyemi</v>
      </c>
      <c r="C91" s="7" t="str">
        <f aca="false">IFERROR(INDEX(Lookup_Tables!$B$5:$B$24,MATCH(UPPER(TRIM('Raw_Data (Before)'!C91)),Lookup_Tables!$A$5:$A$24,0)),"UNMAPPED")</f>
        <v>HR</v>
      </c>
      <c r="D91" s="7" t="str">
        <f aca="false">IFERROR(INDEX(Lookup_Tables!$E$5:$E$8,MATCH(UPPER(TRIM('Raw_Data (Before)'!D91)),Lookup_Tables!$D$5:$D$8,0)),"UNMAPPED")</f>
        <v>Female</v>
      </c>
      <c r="E91" s="7" t="n">
        <f aca="false">'Raw_Data (Before)'!E91</f>
        <v>37</v>
      </c>
      <c r="F91" s="7" t="str">
        <f aca="false">IF(E91="","No",IF(OR(E91&lt;16,E91&gt;75),"No","Yes"))</f>
        <v>Yes</v>
      </c>
      <c r="G91" s="7" t="n">
        <f aca="false">IFERROR(VALUE(SUBSTITUTE(SUBSTITUTE('Raw_Data (Before)'!F91,"₦",""),",","")),"")</f>
        <v>-738974</v>
      </c>
      <c r="H91" s="7" t="str">
        <f aca="false">IF(G91="","No",IF(OR(G91&lt;=0,G91&gt;5000000),"No","Yes"))</f>
        <v>No</v>
      </c>
      <c r="I91" s="8" t="n">
        <f aca="false">IFERROR(DATEVALUE('Raw_Data (Before)'!G91),"")</f>
        <v>43333</v>
      </c>
      <c r="J91" s="7" t="str">
        <f aca="false">IF(I91="","No","Yes")</f>
        <v>Yes</v>
      </c>
      <c r="K91" s="7" t="str">
        <f aca="false">IF(OR(ISERROR(FIND("@",'Raw_Data (Before)'!H91)),ISNUMBER(FIND("@@",'Raw_Data (Before)'!H91)),ISNUMBER(FIND(" ",'Raw_Data (Before)'!H91)),ISERROR(FIND(".",'Raw_Data (Before)'!H91,FIND("@",'Raw_Data (Before)'!H91)))),"No","Yes")</f>
        <v>Yes</v>
      </c>
      <c r="L91" s="7" t="str">
        <f aca="false">IFERROR(INDEX(Lookup_Tables!$H$5:$H$9,MATCH(UPPER(TRIM('Raw_Data (Before)'!I91)),Lookup_Tables!$G$5:$G$9,0)),"UNMAPPED")</f>
        <v>Active</v>
      </c>
      <c r="M91" s="7" t="str">
        <f aca="false">IF(COUNTIF('Raw_Data (Before)'!$A$5:$A$424,A91)&gt;1,"YES","No")</f>
        <v>No</v>
      </c>
      <c r="N91" s="7" t="str">
        <f aca="false">IF(OR(C91="UNMAPPED",D91="UNMAPPED",F91="No",H91="No",J91="No",K91="No",L91="UNMAPPED",M91="YES"),"NEEDS REVIEW","OK")</f>
        <v>NEEDS REVIEW</v>
      </c>
    </row>
    <row r="92" customFormat="false" ht="15" hidden="false" customHeight="false" outlineLevel="0" collapsed="false">
      <c r="A92" s="7" t="str">
        <f aca="false">'Raw_Data (Before)'!A92</f>
        <v>EMP0369</v>
      </c>
      <c r="B92" s="7" t="str">
        <f aca="false">PROPER(TRIM('Raw_Data (Before)'!B92))</f>
        <v>Musa Sani</v>
      </c>
      <c r="C92" s="7" t="str">
        <f aca="false">IFERROR(INDEX(Lookup_Tables!$B$5:$B$24,MATCH(UPPER(TRIM('Raw_Data (Before)'!C92)),Lookup_Tables!$A$5:$A$24,0)),"UNMAPPED")</f>
        <v>Finance</v>
      </c>
      <c r="D92" s="7" t="str">
        <f aca="false">IFERROR(INDEX(Lookup_Tables!$E$5:$E$8,MATCH(UPPER(TRIM('Raw_Data (Before)'!D92)),Lookup_Tables!$D$5:$D$8,0)),"UNMAPPED")</f>
        <v>Male</v>
      </c>
      <c r="E92" s="7" t="n">
        <f aca="false">'Raw_Data (Before)'!E92</f>
        <v>38</v>
      </c>
      <c r="F92" s="7" t="str">
        <f aca="false">IF(E92="","No",IF(OR(E92&lt;16,E92&gt;75),"No","Yes"))</f>
        <v>Yes</v>
      </c>
      <c r="G92" s="7" t="n">
        <f aca="false">IFERROR(VALUE(SUBSTITUTE(SUBSTITUTE('Raw_Data (Before)'!F92,"₦",""),",","")),"")</f>
        <v>670578</v>
      </c>
      <c r="H92" s="7" t="str">
        <f aca="false">IF(G92="","No",IF(OR(G92&lt;=0,G92&gt;5000000),"No","Yes"))</f>
        <v>Yes</v>
      </c>
      <c r="I92" s="8" t="n">
        <f aca="false">IFERROR(DATEVALUE('Raw_Data (Before)'!G92),"")</f>
        <v>43662</v>
      </c>
      <c r="J92" s="7" t="str">
        <f aca="false">IF(I92="","No","Yes")</f>
        <v>Yes</v>
      </c>
      <c r="K92" s="7" t="str">
        <f aca="false">IF(OR(ISERROR(FIND("@",'Raw_Data (Before)'!H92)),ISNUMBER(FIND("@@",'Raw_Data (Before)'!H92)),ISNUMBER(FIND(" ",'Raw_Data (Before)'!H92)),ISERROR(FIND(".",'Raw_Data (Before)'!H92,FIND("@",'Raw_Data (Before)'!H92)))),"No","Yes")</f>
        <v>Yes</v>
      </c>
      <c r="L92" s="7" t="str">
        <f aca="false">IFERROR(INDEX(Lookup_Tables!$H$5:$H$9,MATCH(UPPER(TRIM('Raw_Data (Before)'!I92)),Lookup_Tables!$G$5:$G$9,0)),"UNMAPPED")</f>
        <v>Active</v>
      </c>
      <c r="M92" s="7" t="str">
        <f aca="false">IF(COUNTIF('Raw_Data (Before)'!$A$5:$A$424,A92)&gt;1,"YES","No")</f>
        <v>No</v>
      </c>
      <c r="N92" s="7" t="str">
        <f aca="false">IF(OR(C92="UNMAPPED",D92="UNMAPPED",F92="No",H92="No",J92="No",K92="No",L92="UNMAPPED",M92="YES"),"NEEDS REVIEW","OK")</f>
        <v>OK</v>
      </c>
    </row>
    <row r="93" customFormat="false" ht="15" hidden="false" customHeight="false" outlineLevel="0" collapsed="false">
      <c r="A93" s="7" t="str">
        <f aca="false">'Raw_Data (Before)'!A93</f>
        <v>EMP0007</v>
      </c>
      <c r="B93" s="7" t="str">
        <f aca="false">PROPER(TRIM('Raw_Data (Before)'!B93))</f>
        <v>Comfort Eze</v>
      </c>
      <c r="C93" s="7" t="str">
        <f aca="false">IFERROR(INDEX(Lookup_Tables!$B$5:$B$24,MATCH(UPPER(TRIM('Raw_Data (Before)'!C93)),Lookup_Tables!$A$5:$A$24,0)),"UNMAPPED")</f>
        <v>Marketing</v>
      </c>
      <c r="D93" s="7" t="str">
        <f aca="false">IFERROR(INDEX(Lookup_Tables!$E$5:$E$8,MATCH(UPPER(TRIM('Raw_Data (Before)'!D93)),Lookup_Tables!$D$5:$D$8,0)),"UNMAPPED")</f>
        <v>Female</v>
      </c>
      <c r="E93" s="7" t="n">
        <f aca="false">'Raw_Data (Before)'!E93</f>
        <v>24</v>
      </c>
      <c r="F93" s="7" t="str">
        <f aca="false">IF(E93="","No",IF(OR(E93&lt;16,E93&gt;75),"No","Yes"))</f>
        <v>Yes</v>
      </c>
      <c r="G93" s="7" t="n">
        <f aca="false">IFERROR(VALUE(SUBSTITUTE(SUBSTITUTE('Raw_Data (Before)'!F93,"₦",""),",","")),"")</f>
        <v>308807</v>
      </c>
      <c r="H93" s="7" t="str">
        <f aca="false">IF(G93="","No",IF(OR(G93&lt;=0,G93&gt;5000000),"No","Yes"))</f>
        <v>Yes</v>
      </c>
      <c r="I93" s="8" t="n">
        <f aca="false">IFERROR(DATEVALUE('Raw_Data (Before)'!G93),"")</f>
        <v>43789</v>
      </c>
      <c r="J93" s="7" t="str">
        <f aca="false">IF(I93="","No","Yes")</f>
        <v>Yes</v>
      </c>
      <c r="K93" s="7" t="str">
        <f aca="false">IF(OR(ISERROR(FIND("@",'Raw_Data (Before)'!H93)),ISNUMBER(FIND("@@",'Raw_Data (Before)'!H93)),ISNUMBER(FIND(" ",'Raw_Data (Before)'!H93)),ISERROR(FIND(".",'Raw_Data (Before)'!H93,FIND("@",'Raw_Data (Before)'!H93)))),"No","Yes")</f>
        <v>Yes</v>
      </c>
      <c r="L93" s="7" t="str">
        <f aca="false">IFERROR(INDEX(Lookup_Tables!$H$5:$H$9,MATCH(UPPER(TRIM('Raw_Data (Before)'!I93)),Lookup_Tables!$G$5:$G$9,0)),"UNMAPPED")</f>
        <v>Inactive</v>
      </c>
      <c r="M93" s="7" t="str">
        <f aca="false">IF(COUNTIF('Raw_Data (Before)'!$A$5:$A$424,A93)&gt;1,"YES","No")</f>
        <v>No</v>
      </c>
      <c r="N93" s="7" t="str">
        <f aca="false">IF(OR(C93="UNMAPPED",D93="UNMAPPED",F93="No",H93="No",J93="No",K93="No",L93="UNMAPPED",M93="YES"),"NEEDS REVIEW","OK")</f>
        <v>OK</v>
      </c>
    </row>
    <row r="94" customFormat="false" ht="15" hidden="false" customHeight="false" outlineLevel="0" collapsed="false">
      <c r="A94" s="7" t="str">
        <f aca="false">'Raw_Data (Before)'!A94</f>
        <v>EMP0195</v>
      </c>
      <c r="B94" s="7" t="str">
        <f aca="false">PROPER(TRIM('Raw_Data (Before)'!B94))</f>
        <v>Bisi Abubakar</v>
      </c>
      <c r="C94" s="7" t="str">
        <f aca="false">IFERROR(INDEX(Lookup_Tables!$B$5:$B$24,MATCH(UPPER(TRIM('Raw_Data (Before)'!C94)),Lookup_Tables!$A$5:$A$24,0)),"UNMAPPED")</f>
        <v>Finance</v>
      </c>
      <c r="D94" s="7" t="str">
        <f aca="false">IFERROR(INDEX(Lookup_Tables!$E$5:$E$8,MATCH(UPPER(TRIM('Raw_Data (Before)'!D94)),Lookup_Tables!$D$5:$D$8,0)),"UNMAPPED")</f>
        <v>Female</v>
      </c>
      <c r="E94" s="7" t="n">
        <f aca="false">'Raw_Data (Before)'!E94</f>
        <v>29</v>
      </c>
      <c r="F94" s="7" t="str">
        <f aca="false">IF(E94="","No",IF(OR(E94&lt;16,E94&gt;75),"No","Yes"))</f>
        <v>Yes</v>
      </c>
      <c r="G94" s="7" t="n">
        <f aca="false">IFERROR(VALUE(SUBSTITUTE(SUBSTITUTE('Raw_Data (Before)'!F94,"₦",""),",","")),"")</f>
        <v>526667</v>
      </c>
      <c r="H94" s="7" t="str">
        <f aca="false">IF(G94="","No",IF(OR(G94&lt;=0,G94&gt;5000000),"No","Yes"))</f>
        <v>Yes</v>
      </c>
      <c r="I94" s="8" t="n">
        <f aca="false">IFERROR(DATEVALUE('Raw_Data (Before)'!G94),"")</f>
        <v>44983</v>
      </c>
      <c r="J94" s="7" t="str">
        <f aca="false">IF(I94="","No","Yes")</f>
        <v>Yes</v>
      </c>
      <c r="K94" s="7" t="str">
        <f aca="false">IF(OR(ISERROR(FIND("@",'Raw_Data (Before)'!H94)),ISNUMBER(FIND("@@",'Raw_Data (Before)'!H94)),ISNUMBER(FIND(" ",'Raw_Data (Before)'!H94)),ISERROR(FIND(".",'Raw_Data (Before)'!H94,FIND("@",'Raw_Data (Before)'!H94)))),"No","Yes")</f>
        <v>Yes</v>
      </c>
      <c r="L94" s="7" t="str">
        <f aca="false">IFERROR(INDEX(Lookup_Tables!$H$5:$H$9,MATCH(UPPER(TRIM('Raw_Data (Before)'!I94)),Lookup_Tables!$G$5:$G$9,0)),"UNMAPPED")</f>
        <v>Active</v>
      </c>
      <c r="M94" s="7" t="str">
        <f aca="false">IF(COUNTIF('Raw_Data (Before)'!$A$5:$A$424,A94)&gt;1,"YES","No")</f>
        <v>No</v>
      </c>
      <c r="N94" s="7" t="str">
        <f aca="false">IF(OR(C94="UNMAPPED",D94="UNMAPPED",F94="No",H94="No",J94="No",K94="No",L94="UNMAPPED",M94="YES"),"NEEDS REVIEW","OK")</f>
        <v>OK</v>
      </c>
    </row>
    <row r="95" customFormat="false" ht="15" hidden="false" customHeight="false" outlineLevel="0" collapsed="false">
      <c r="A95" s="7" t="str">
        <f aca="false">'Raw_Data (Before)'!A95</f>
        <v>EMP0391</v>
      </c>
      <c r="B95" s="7" t="str">
        <f aca="false">PROPER(TRIM('Raw_Data (Before)'!B95))</f>
        <v>Daniel Chukwu</v>
      </c>
      <c r="C95" s="7" t="str">
        <f aca="false">IFERROR(INDEX(Lookup_Tables!$B$5:$B$24,MATCH(UPPER(TRIM('Raw_Data (Before)'!C95)),Lookup_Tables!$A$5:$A$24,0)),"UNMAPPED")</f>
        <v>Sales</v>
      </c>
      <c r="D95" s="7" t="str">
        <f aca="false">IFERROR(INDEX(Lookup_Tables!$E$5:$E$8,MATCH(UPPER(TRIM('Raw_Data (Before)'!D95)),Lookup_Tables!$D$5:$D$8,0)),"UNMAPPED")</f>
        <v>Male</v>
      </c>
      <c r="E95" s="7" t="n">
        <f aca="false">'Raw_Data (Before)'!E95</f>
        <v>44</v>
      </c>
      <c r="F95" s="7" t="str">
        <f aca="false">IF(E95="","No",IF(OR(E95&lt;16,E95&gt;75),"No","Yes"))</f>
        <v>Yes</v>
      </c>
      <c r="G95" s="7" t="n">
        <f aca="false">IFERROR(VALUE(SUBSTITUTE(SUBSTITUTE('Raw_Data (Before)'!F95,"₦",""),",","")),"")</f>
        <v>807187</v>
      </c>
      <c r="H95" s="7" t="str">
        <f aca="false">IF(G95="","No",IF(OR(G95&lt;=0,G95&gt;5000000),"No","Yes"))</f>
        <v>Yes</v>
      </c>
      <c r="I95" s="8" t="n">
        <f aca="false">IFERROR(DATEVALUE('Raw_Data (Before)'!G95),"")</f>
        <v>45782</v>
      </c>
      <c r="J95" s="7" t="str">
        <f aca="false">IF(I95="","No","Yes")</f>
        <v>Yes</v>
      </c>
      <c r="K95" s="7" t="str">
        <f aca="false">IF(OR(ISERROR(FIND("@",'Raw_Data (Before)'!H95)),ISNUMBER(FIND("@@",'Raw_Data (Before)'!H95)),ISNUMBER(FIND(" ",'Raw_Data (Before)'!H95)),ISERROR(FIND(".",'Raw_Data (Before)'!H95,FIND("@",'Raw_Data (Before)'!H95)))),"No","Yes")</f>
        <v>Yes</v>
      </c>
      <c r="L95" s="7" t="str">
        <f aca="false">IFERROR(INDEX(Lookup_Tables!$H$5:$H$9,MATCH(UPPER(TRIM('Raw_Data (Before)'!I95)),Lookup_Tables!$G$5:$G$9,0)),"UNMAPPED")</f>
        <v>Inactive</v>
      </c>
      <c r="M95" s="7" t="str">
        <f aca="false">IF(COUNTIF('Raw_Data (Before)'!$A$5:$A$424,A95)&gt;1,"YES","No")</f>
        <v>No</v>
      </c>
      <c r="N95" s="7" t="str">
        <f aca="false">IF(OR(C95="UNMAPPED",D95="UNMAPPED",F95="No",H95="No",J95="No",K95="No",L95="UNMAPPED",M95="YES"),"NEEDS REVIEW","OK")</f>
        <v>OK</v>
      </c>
    </row>
    <row r="96" customFormat="false" ht="15" hidden="false" customHeight="false" outlineLevel="0" collapsed="false">
      <c r="A96" s="7" t="str">
        <f aca="false">'Raw_Data (Before)'!A96</f>
        <v>EMP0093</v>
      </c>
      <c r="B96" s="7" t="str">
        <f aca="false">PROPER(TRIM('Raw_Data (Before)'!B96))</f>
        <v>Grace Balogun</v>
      </c>
      <c r="C96" s="7" t="str">
        <f aca="false">IFERROR(INDEX(Lookup_Tables!$B$5:$B$24,MATCH(UPPER(TRIM('Raw_Data (Before)'!C96)),Lookup_Tables!$A$5:$A$24,0)),"UNMAPPED")</f>
        <v>Sales</v>
      </c>
      <c r="D96" s="7" t="str">
        <f aca="false">IFERROR(INDEX(Lookup_Tables!$E$5:$E$8,MATCH(UPPER(TRIM('Raw_Data (Before)'!D96)),Lookup_Tables!$D$5:$D$8,0)),"UNMAPPED")</f>
        <v>Male</v>
      </c>
      <c r="E96" s="7" t="n">
        <f aca="false">'Raw_Data (Before)'!E96</f>
        <v>26</v>
      </c>
      <c r="F96" s="7" t="str">
        <f aca="false">IF(E96="","No",IF(OR(E96&lt;16,E96&gt;75),"No","Yes"))</f>
        <v>Yes</v>
      </c>
      <c r="G96" s="7" t="n">
        <f aca="false">IFERROR(VALUE(SUBSTITUTE(SUBSTITUTE('Raw_Data (Before)'!F96,"₦",""),",","")),"")</f>
        <v>682449</v>
      </c>
      <c r="H96" s="7" t="str">
        <f aca="false">IF(G96="","No",IF(OR(G96&lt;=0,G96&gt;5000000),"No","Yes"))</f>
        <v>Yes</v>
      </c>
      <c r="I96" s="8" t="n">
        <f aca="false">IFERROR(DATEVALUE('Raw_Data (Before)'!G96),"")</f>
        <v>45304</v>
      </c>
      <c r="J96" s="7" t="str">
        <f aca="false">IF(I96="","No","Yes")</f>
        <v>Yes</v>
      </c>
      <c r="K96" s="7" t="str">
        <f aca="false">IF(OR(ISERROR(FIND("@",'Raw_Data (Before)'!H96)),ISNUMBER(FIND("@@",'Raw_Data (Before)'!H96)),ISNUMBER(FIND(" ",'Raw_Data (Before)'!H96)),ISERROR(FIND(".",'Raw_Data (Before)'!H96,FIND("@",'Raw_Data (Before)'!H96)))),"No","Yes")</f>
        <v>Yes</v>
      </c>
      <c r="L96" s="7" t="str">
        <f aca="false">IFERROR(INDEX(Lookup_Tables!$H$5:$H$9,MATCH(UPPER(TRIM('Raw_Data (Before)'!I96)),Lookup_Tables!$G$5:$G$9,0)),"UNMAPPED")</f>
        <v>Active</v>
      </c>
      <c r="M96" s="7" t="str">
        <f aca="false">IF(COUNTIF('Raw_Data (Before)'!$A$5:$A$424,A96)&gt;1,"YES","No")</f>
        <v>No</v>
      </c>
      <c r="N96" s="7" t="str">
        <f aca="false">IF(OR(C96="UNMAPPED",D96="UNMAPPED",F96="No",H96="No",J96="No",K96="No",L96="UNMAPPED",M96="YES"),"NEEDS REVIEW","OK")</f>
        <v>OK</v>
      </c>
    </row>
    <row r="97" customFormat="false" ht="15" hidden="false" customHeight="false" outlineLevel="0" collapsed="false">
      <c r="A97" s="7" t="str">
        <f aca="false">'Raw_Data (Before)'!A97</f>
        <v>EMP0287</v>
      </c>
      <c r="B97" s="7" t="str">
        <f aca="false">PROPER(TRIM('Raw_Data (Before)'!B97))</f>
        <v>Emeka Bello</v>
      </c>
      <c r="C97" s="7" t="str">
        <f aca="false">IFERROR(INDEX(Lookup_Tables!$B$5:$B$24,MATCH(UPPER(TRIM('Raw_Data (Before)'!C97)),Lookup_Tables!$A$5:$A$24,0)),"UNMAPPED")</f>
        <v>HR</v>
      </c>
      <c r="D97" s="7" t="str">
        <f aca="false">IFERROR(INDEX(Lookup_Tables!$E$5:$E$8,MATCH(UPPER(TRIM('Raw_Data (Before)'!D97)),Lookup_Tables!$D$5:$D$8,0)),"UNMAPPED")</f>
        <v>Female</v>
      </c>
      <c r="E97" s="7" t="n">
        <f aca="false">'Raw_Data (Before)'!E97</f>
        <v>31</v>
      </c>
      <c r="F97" s="7" t="str">
        <f aca="false">IF(E97="","No",IF(OR(E97&lt;16,E97&gt;75),"No","Yes"))</f>
        <v>Yes</v>
      </c>
      <c r="G97" s="7" t="n">
        <f aca="false">IFERROR(VALUE(SUBSTITUTE(SUBSTITUTE('Raw_Data (Before)'!F97,"₦",""),",","")),"")</f>
        <v>725818</v>
      </c>
      <c r="H97" s="7" t="str">
        <f aca="false">IF(G97="","No",IF(OR(G97&lt;=0,G97&gt;5000000),"No","Yes"))</f>
        <v>Yes</v>
      </c>
      <c r="I97" s="8" t="n">
        <f aca="false">IFERROR(DATEVALUE('Raw_Data (Before)'!G97),"")</f>
        <v>43953</v>
      </c>
      <c r="J97" s="7" t="str">
        <f aca="false">IF(I97="","No","Yes")</f>
        <v>Yes</v>
      </c>
      <c r="K97" s="7" t="str">
        <f aca="false">IF(OR(ISERROR(FIND("@",'Raw_Data (Before)'!H97)),ISNUMBER(FIND("@@",'Raw_Data (Before)'!H97)),ISNUMBER(FIND(" ",'Raw_Data (Before)'!H97)),ISERROR(FIND(".",'Raw_Data (Before)'!H97,FIND("@",'Raw_Data (Before)'!H97)))),"No","Yes")</f>
        <v>Yes</v>
      </c>
      <c r="L97" s="7" t="str">
        <f aca="false">IFERROR(INDEX(Lookup_Tables!$H$5:$H$9,MATCH(UPPER(TRIM('Raw_Data (Before)'!I97)),Lookup_Tables!$G$5:$G$9,0)),"UNMAPPED")</f>
        <v>Active</v>
      </c>
      <c r="M97" s="7" t="str">
        <f aca="false">IF(COUNTIF('Raw_Data (Before)'!$A$5:$A$424,A97)&gt;1,"YES","No")</f>
        <v>YES</v>
      </c>
      <c r="N97" s="7" t="str">
        <f aca="false">IF(OR(C97="UNMAPPED",D97="UNMAPPED",F97="No",H97="No",J97="No",K97="No",L97="UNMAPPED",M97="YES"),"NEEDS REVIEW","OK")</f>
        <v>NEEDS REVIEW</v>
      </c>
    </row>
    <row r="98" customFormat="false" ht="15" hidden="false" customHeight="false" outlineLevel="0" collapsed="false">
      <c r="A98" s="7" t="str">
        <f aca="false">'Raw_Data (Before)'!A98</f>
        <v>EMP0232</v>
      </c>
      <c r="B98" s="7" t="str">
        <f aca="false">PROPER(TRIM('Raw_Data (Before)'!B98))</f>
        <v>James Okafor</v>
      </c>
      <c r="C98" s="7" t="str">
        <f aca="false">IFERROR(INDEX(Lookup_Tables!$B$5:$B$24,MATCH(UPPER(TRIM('Raw_Data (Before)'!C98)),Lookup_Tables!$A$5:$A$24,0)),"UNMAPPED")</f>
        <v>Marketing</v>
      </c>
      <c r="D98" s="7" t="str">
        <f aca="false">IFERROR(INDEX(Lookup_Tables!$E$5:$E$8,MATCH(UPPER(TRIM('Raw_Data (Before)'!D98)),Lookup_Tables!$D$5:$D$8,0)),"UNMAPPED")</f>
        <v>Female</v>
      </c>
      <c r="E98" s="7" t="n">
        <f aca="false">'Raw_Data (Before)'!E98</f>
        <v>52</v>
      </c>
      <c r="F98" s="7" t="str">
        <f aca="false">IF(E98="","No",IF(OR(E98&lt;16,E98&gt;75),"No","Yes"))</f>
        <v>Yes</v>
      </c>
      <c r="G98" s="7" t="n">
        <f aca="false">IFERROR(VALUE(SUBSTITUTE(SUBSTITUTE('Raw_Data (Before)'!F98,"₦",""),",","")),"")</f>
        <v>754227</v>
      </c>
      <c r="H98" s="7" t="str">
        <f aca="false">IF(G98="","No",IF(OR(G98&lt;=0,G98&gt;5000000),"No","Yes"))</f>
        <v>Yes</v>
      </c>
      <c r="I98" s="8" t="n">
        <f aca="false">IFERROR(DATEVALUE('Raw_Data (Before)'!G98),"")</f>
        <v>44655</v>
      </c>
      <c r="J98" s="7" t="str">
        <f aca="false">IF(I98="","No","Yes")</f>
        <v>Yes</v>
      </c>
      <c r="K98" s="7" t="str">
        <f aca="false">IF(OR(ISERROR(FIND("@",'Raw_Data (Before)'!H98)),ISNUMBER(FIND("@@",'Raw_Data (Before)'!H98)),ISNUMBER(FIND(" ",'Raw_Data (Before)'!H98)),ISERROR(FIND(".",'Raw_Data (Before)'!H98,FIND("@",'Raw_Data (Before)'!H98)))),"No","Yes")</f>
        <v>No</v>
      </c>
      <c r="L98" s="7" t="str">
        <f aca="false">IFERROR(INDEX(Lookup_Tables!$H$5:$H$9,MATCH(UPPER(TRIM('Raw_Data (Before)'!I98)),Lookup_Tables!$G$5:$G$9,0)),"UNMAPPED")</f>
        <v>Active</v>
      </c>
      <c r="M98" s="7" t="str">
        <f aca="false">IF(COUNTIF('Raw_Data (Before)'!$A$5:$A$424,A98)&gt;1,"YES","No")</f>
        <v>No</v>
      </c>
      <c r="N98" s="7" t="str">
        <f aca="false">IF(OR(C98="UNMAPPED",D98="UNMAPPED",F98="No",H98="No",J98="No",K98="No",L98="UNMAPPED",M98="YES"),"NEEDS REVIEW","OK")</f>
        <v>NEEDS REVIEW</v>
      </c>
    </row>
    <row r="99" customFormat="false" ht="15" hidden="false" customHeight="false" outlineLevel="0" collapsed="false">
      <c r="A99" s="7" t="str">
        <f aca="false">'Raw_Data (Before)'!A99</f>
        <v>EMP0236</v>
      </c>
      <c r="B99" s="7" t="str">
        <f aca="false">PROPER(TRIM('Raw_Data (Before)'!B99))</f>
        <v>Samuel Okafor</v>
      </c>
      <c r="C99" s="7" t="str">
        <f aca="false">IFERROR(INDEX(Lookup_Tables!$B$5:$B$24,MATCH(UPPER(TRIM('Raw_Data (Before)'!C99)),Lookup_Tables!$A$5:$A$24,0)),"UNMAPPED")</f>
        <v>Operations</v>
      </c>
      <c r="D99" s="7" t="str">
        <f aca="false">IFERROR(INDEX(Lookup_Tables!$E$5:$E$8,MATCH(UPPER(TRIM('Raw_Data (Before)'!D99)),Lookup_Tables!$D$5:$D$8,0)),"UNMAPPED")</f>
        <v>Female</v>
      </c>
      <c r="E99" s="7" t="n">
        <f aca="false">'Raw_Data (Before)'!E99</f>
        <v>36</v>
      </c>
      <c r="F99" s="7" t="str">
        <f aca="false">IF(E99="","No",IF(OR(E99&lt;16,E99&gt;75),"No","Yes"))</f>
        <v>Yes</v>
      </c>
      <c r="G99" s="7" t="n">
        <f aca="false">IFERROR(VALUE(SUBSTITUTE(SUBSTITUTE('Raw_Data (Before)'!F99,"₦",""),",","")),"")</f>
        <v>478696</v>
      </c>
      <c r="H99" s="7" t="str">
        <f aca="false">IF(G99="","No",IF(OR(G99&lt;=0,G99&gt;5000000),"No","Yes"))</f>
        <v>Yes</v>
      </c>
      <c r="I99" s="8" t="str">
        <f aca="false">IFERROR(DATEVALUE('Raw_Data (Before)'!G99),"")</f>
        <v/>
      </c>
      <c r="J99" s="7" t="str">
        <f aca="false">IF(I99="","No","Yes")</f>
        <v>No</v>
      </c>
      <c r="K99" s="7" t="str">
        <f aca="false">IF(OR(ISERROR(FIND("@",'Raw_Data (Before)'!H99)),ISNUMBER(FIND("@@",'Raw_Data (Before)'!H99)),ISNUMBER(FIND(" ",'Raw_Data (Before)'!H99)),ISERROR(FIND(".",'Raw_Data (Before)'!H99,FIND("@",'Raw_Data (Before)'!H99)))),"No","Yes")</f>
        <v>Yes</v>
      </c>
      <c r="L99" s="7" t="str">
        <f aca="false">IFERROR(INDEX(Lookup_Tables!$H$5:$H$9,MATCH(UPPER(TRIM('Raw_Data (Before)'!I99)),Lookup_Tables!$G$5:$G$9,0)),"UNMAPPED")</f>
        <v>Active</v>
      </c>
      <c r="M99" s="7" t="str">
        <f aca="false">IF(COUNTIF('Raw_Data (Before)'!$A$5:$A$424,A99)&gt;1,"YES","No")</f>
        <v>No</v>
      </c>
      <c r="N99" s="7" t="str">
        <f aca="false">IF(OR(C99="UNMAPPED",D99="UNMAPPED",F99="No",H99="No",J99="No",K99="No",L99="UNMAPPED",M99="YES"),"NEEDS REVIEW","OK")</f>
        <v>NEEDS REVIEW</v>
      </c>
    </row>
    <row r="100" customFormat="false" ht="15" hidden="false" customHeight="false" outlineLevel="0" collapsed="false">
      <c r="A100" s="7" t="str">
        <f aca="false">'Raw_Data (Before)'!A100</f>
        <v>EMP0061</v>
      </c>
      <c r="B100" s="7" t="str">
        <f aca="false">PROPER(TRIM('Raw_Data (Before)'!B100))</f>
        <v>Hauwa Nwosu</v>
      </c>
      <c r="C100" s="7" t="str">
        <f aca="false">IFERROR(INDEX(Lookup_Tables!$B$5:$B$24,MATCH(UPPER(TRIM('Raw_Data (Before)'!C100)),Lookup_Tables!$A$5:$A$24,0)),"UNMAPPED")</f>
        <v>HR</v>
      </c>
      <c r="D100" s="7" t="str">
        <f aca="false">IFERROR(INDEX(Lookup_Tables!$E$5:$E$8,MATCH(UPPER(TRIM('Raw_Data (Before)'!D100)),Lookup_Tables!$D$5:$D$8,0)),"UNMAPPED")</f>
        <v>Male</v>
      </c>
      <c r="E100" s="7" t="n">
        <f aca="false">'Raw_Data (Before)'!E100</f>
        <v>31</v>
      </c>
      <c r="F100" s="7" t="str">
        <f aca="false">IF(E100="","No",IF(OR(E100&lt;16,E100&gt;75),"No","Yes"))</f>
        <v>Yes</v>
      </c>
      <c r="G100" s="7" t="n">
        <f aca="false">IFERROR(VALUE(SUBSTITUTE(SUBSTITUTE('Raw_Data (Before)'!F100,"₦",""),",","")),"")</f>
        <v>527274</v>
      </c>
      <c r="H100" s="7" t="str">
        <f aca="false">IF(G100="","No",IF(OR(G100&lt;=0,G100&gt;5000000),"No","Yes"))</f>
        <v>Yes</v>
      </c>
      <c r="I100" s="8" t="n">
        <f aca="false">IFERROR(DATEVALUE('Raw_Data (Before)'!G100),"")</f>
        <v>45074</v>
      </c>
      <c r="J100" s="7" t="str">
        <f aca="false">IF(I100="","No","Yes")</f>
        <v>Yes</v>
      </c>
      <c r="K100" s="7" t="str">
        <f aca="false">IF(OR(ISERROR(FIND("@",'Raw_Data (Before)'!H100)),ISNUMBER(FIND("@@",'Raw_Data (Before)'!H100)),ISNUMBER(FIND(" ",'Raw_Data (Before)'!H100)),ISERROR(FIND(".",'Raw_Data (Before)'!H100,FIND("@",'Raw_Data (Before)'!H100)))),"No","Yes")</f>
        <v>Yes</v>
      </c>
      <c r="L100" s="7" t="str">
        <f aca="false">IFERROR(INDEX(Lookup_Tables!$H$5:$H$9,MATCH(UPPER(TRIM('Raw_Data (Before)'!I100)),Lookup_Tables!$G$5:$G$9,0)),"UNMAPPED")</f>
        <v>Active</v>
      </c>
      <c r="M100" s="7" t="str">
        <f aca="false">IF(COUNTIF('Raw_Data (Before)'!$A$5:$A$424,A100)&gt;1,"YES","No")</f>
        <v>No</v>
      </c>
      <c r="N100" s="7" t="str">
        <f aca="false">IF(OR(C100="UNMAPPED",D100="UNMAPPED",F100="No",H100="No",J100="No",K100="No",L100="UNMAPPED",M100="YES"),"NEEDS REVIEW","OK")</f>
        <v>OK</v>
      </c>
    </row>
    <row r="101" customFormat="false" ht="15" hidden="false" customHeight="false" outlineLevel="0" collapsed="false">
      <c r="A101" s="7" t="str">
        <f aca="false">'Raw_Data (Before)'!A101</f>
        <v>EMP0308</v>
      </c>
      <c r="B101" s="7" t="str">
        <f aca="false">PROPER(TRIM('Raw_Data (Before)'!B101))</f>
        <v>David Duru</v>
      </c>
      <c r="C101" s="7" t="str">
        <f aca="false">IFERROR(INDEX(Lookup_Tables!$B$5:$B$24,MATCH(UPPER(TRIM('Raw_Data (Before)'!C101)),Lookup_Tables!$A$5:$A$24,0)),"UNMAPPED")</f>
        <v>IT</v>
      </c>
      <c r="D101" s="7" t="str">
        <f aca="false">IFERROR(INDEX(Lookup_Tables!$E$5:$E$8,MATCH(UPPER(TRIM('Raw_Data (Before)'!D101)),Lookup_Tables!$D$5:$D$8,0)),"UNMAPPED")</f>
        <v>Male</v>
      </c>
      <c r="E101" s="7" t="n">
        <f aca="false">'Raw_Data (Before)'!E101</f>
        <v>33</v>
      </c>
      <c r="F101" s="7" t="str">
        <f aca="false">IF(E101="","No",IF(OR(E101&lt;16,E101&gt;75),"No","Yes"))</f>
        <v>Yes</v>
      </c>
      <c r="G101" s="7" t="n">
        <f aca="false">IFERROR(VALUE(SUBSTITUTE(SUBSTITUTE('Raw_Data (Before)'!F101,"₦",""),",","")),"")</f>
        <v>399232</v>
      </c>
      <c r="H101" s="7" t="str">
        <f aca="false">IF(G101="","No",IF(OR(G101&lt;=0,G101&gt;5000000),"No","Yes"))</f>
        <v>Yes</v>
      </c>
      <c r="I101" s="8" t="n">
        <f aca="false">IFERROR(DATEVALUE('Raw_Data (Before)'!G101),"")</f>
        <v>44269</v>
      </c>
      <c r="J101" s="7" t="str">
        <f aca="false">IF(I101="","No","Yes")</f>
        <v>Yes</v>
      </c>
      <c r="K101" s="7" t="str">
        <f aca="false">IF(OR(ISERROR(FIND("@",'Raw_Data (Before)'!H101)),ISNUMBER(FIND("@@",'Raw_Data (Before)'!H101)),ISNUMBER(FIND(" ",'Raw_Data (Before)'!H101)),ISERROR(FIND(".",'Raw_Data (Before)'!H101,FIND("@",'Raw_Data (Before)'!H101)))),"No","Yes")</f>
        <v>Yes</v>
      </c>
      <c r="L101" s="7" t="str">
        <f aca="false">IFERROR(INDEX(Lookup_Tables!$H$5:$H$9,MATCH(UPPER(TRIM('Raw_Data (Before)'!I101)),Lookup_Tables!$G$5:$G$9,0)),"UNMAPPED")</f>
        <v>Active</v>
      </c>
      <c r="M101" s="7" t="str">
        <f aca="false">IF(COUNTIF('Raw_Data (Before)'!$A$5:$A$424,A101)&gt;1,"YES","No")</f>
        <v>No</v>
      </c>
      <c r="N101" s="7" t="str">
        <f aca="false">IF(OR(C101="UNMAPPED",D101="UNMAPPED",F101="No",H101="No",J101="No",K101="No",L101="UNMAPPED",M101="YES"),"NEEDS REVIEW","OK")</f>
        <v>OK</v>
      </c>
    </row>
    <row r="102" customFormat="false" ht="15" hidden="false" customHeight="false" outlineLevel="0" collapsed="false">
      <c r="A102" s="7" t="str">
        <f aca="false">'Raw_Data (Before)'!A102</f>
        <v>EMP0295</v>
      </c>
      <c r="B102" s="7" t="str">
        <f aca="false">PROPER(TRIM('Raw_Data (Before)'!B102))</f>
        <v>Emmanuel Adeyemi</v>
      </c>
      <c r="C102" s="7" t="str">
        <f aca="false">IFERROR(INDEX(Lookup_Tables!$B$5:$B$24,MATCH(UPPER(TRIM('Raw_Data (Before)'!C102)),Lookup_Tables!$A$5:$A$24,0)),"UNMAPPED")</f>
        <v>Marketing</v>
      </c>
      <c r="D102" s="7" t="str">
        <f aca="false">IFERROR(INDEX(Lookup_Tables!$E$5:$E$8,MATCH(UPPER(TRIM('Raw_Data (Before)'!D102)),Lookup_Tables!$D$5:$D$8,0)),"UNMAPPED")</f>
        <v>Male</v>
      </c>
      <c r="E102" s="7" t="n">
        <f aca="false">'Raw_Data (Before)'!E102</f>
        <v>34</v>
      </c>
      <c r="F102" s="7" t="str">
        <f aca="false">IF(E102="","No",IF(OR(E102&lt;16,E102&gt;75),"No","Yes"))</f>
        <v>Yes</v>
      </c>
      <c r="G102" s="7" t="n">
        <f aca="false">IFERROR(VALUE(SUBSTITUTE(SUBSTITUTE('Raw_Data (Before)'!F102,"₦",""),",","")),"")</f>
        <v>381349</v>
      </c>
      <c r="H102" s="7" t="str">
        <f aca="false">IF(G102="","No",IF(OR(G102&lt;=0,G102&gt;5000000),"No","Yes"))</f>
        <v>Yes</v>
      </c>
      <c r="I102" s="8" t="str">
        <f aca="false">IFERROR(DATEVALUE('Raw_Data (Before)'!G102),"")</f>
        <v/>
      </c>
      <c r="J102" s="7" t="str">
        <f aca="false">IF(I102="","No","Yes")</f>
        <v>No</v>
      </c>
      <c r="K102" s="7" t="str">
        <f aca="false">IF(OR(ISERROR(FIND("@",'Raw_Data (Before)'!H102)),ISNUMBER(FIND("@@",'Raw_Data (Before)'!H102)),ISNUMBER(FIND(" ",'Raw_Data (Before)'!H102)),ISERROR(FIND(".",'Raw_Data (Before)'!H102,FIND("@",'Raw_Data (Before)'!H102)))),"No","Yes")</f>
        <v>Yes</v>
      </c>
      <c r="L102" s="7" t="str">
        <f aca="false">IFERROR(INDEX(Lookup_Tables!$H$5:$H$9,MATCH(UPPER(TRIM('Raw_Data (Before)'!I102)),Lookup_Tables!$G$5:$G$9,0)),"UNMAPPED")</f>
        <v>Inactive</v>
      </c>
      <c r="M102" s="7" t="str">
        <f aca="false">IF(COUNTIF('Raw_Data (Before)'!$A$5:$A$424,A102)&gt;1,"YES","No")</f>
        <v>No</v>
      </c>
      <c r="N102" s="7" t="str">
        <f aca="false">IF(OR(C102="UNMAPPED",D102="UNMAPPED",F102="No",H102="No",J102="No",K102="No",L102="UNMAPPED",M102="YES"),"NEEDS REVIEW","OK")</f>
        <v>NEEDS REVIEW</v>
      </c>
    </row>
    <row r="103" customFormat="false" ht="15" hidden="false" customHeight="false" outlineLevel="0" collapsed="false">
      <c r="A103" s="7" t="str">
        <f aca="false">'Raw_Data (Before)'!A103</f>
        <v>EMP0099</v>
      </c>
      <c r="B103" s="7" t="str">
        <f aca="false">PROPER(TRIM('Raw_Data (Before)'!B103))</f>
        <v>Ngozi Lawal</v>
      </c>
      <c r="C103" s="7" t="str">
        <f aca="false">IFERROR(INDEX(Lookup_Tables!$B$5:$B$24,MATCH(UPPER(TRIM('Raw_Data (Before)'!C103)),Lookup_Tables!$A$5:$A$24,0)),"UNMAPPED")</f>
        <v>Finance</v>
      </c>
      <c r="D103" s="7" t="str">
        <f aca="false">IFERROR(INDEX(Lookup_Tables!$E$5:$E$8,MATCH(UPPER(TRIM('Raw_Data (Before)'!D103)),Lookup_Tables!$D$5:$D$8,0)),"UNMAPPED")</f>
        <v>Male</v>
      </c>
      <c r="E103" s="7" t="n">
        <f aca="false">'Raw_Data (Before)'!E103</f>
        <v>27</v>
      </c>
      <c r="F103" s="7" t="str">
        <f aca="false">IF(E103="","No",IF(OR(E103&lt;16,E103&gt;75),"No","Yes"))</f>
        <v>Yes</v>
      </c>
      <c r="G103" s="7" t="n">
        <f aca="false">IFERROR(VALUE(SUBSTITUTE(SUBSTITUTE('Raw_Data (Before)'!F103,"₦",""),",","")),"")</f>
        <v>374444</v>
      </c>
      <c r="H103" s="7" t="str">
        <f aca="false">IF(G103="","No",IF(OR(G103&lt;=0,G103&gt;5000000),"No","Yes"))</f>
        <v>Yes</v>
      </c>
      <c r="I103" s="8" t="n">
        <f aca="false">IFERROR(DATEVALUE('Raw_Data (Before)'!G103),"")</f>
        <v>44882</v>
      </c>
      <c r="J103" s="7" t="str">
        <f aca="false">IF(I103="","No","Yes")</f>
        <v>Yes</v>
      </c>
      <c r="K103" s="7" t="str">
        <f aca="false">IF(OR(ISERROR(FIND("@",'Raw_Data (Before)'!H103)),ISNUMBER(FIND("@@",'Raw_Data (Before)'!H103)),ISNUMBER(FIND(" ",'Raw_Data (Before)'!H103)),ISERROR(FIND(".",'Raw_Data (Before)'!H103,FIND("@",'Raw_Data (Before)'!H103)))),"No","Yes")</f>
        <v>Yes</v>
      </c>
      <c r="L103" s="7" t="str">
        <f aca="false">IFERROR(INDEX(Lookup_Tables!$H$5:$H$9,MATCH(UPPER(TRIM('Raw_Data (Before)'!I103)),Lookup_Tables!$G$5:$G$9,0)),"UNMAPPED")</f>
        <v>Active</v>
      </c>
      <c r="M103" s="7" t="str">
        <f aca="false">IF(COUNTIF('Raw_Data (Before)'!$A$5:$A$424,A103)&gt;1,"YES","No")</f>
        <v>No</v>
      </c>
      <c r="N103" s="7" t="str">
        <f aca="false">IF(OR(C103="UNMAPPED",D103="UNMAPPED",F103="No",H103="No",J103="No",K103="No",L103="UNMAPPED",M103="YES"),"NEEDS REVIEW","OK")</f>
        <v>OK</v>
      </c>
    </row>
    <row r="104" customFormat="false" ht="15" hidden="false" customHeight="false" outlineLevel="0" collapsed="false">
      <c r="A104" s="7" t="str">
        <f aca="false">'Raw_Data (Before)'!A104</f>
        <v>EMP0225</v>
      </c>
      <c r="B104" s="7" t="str">
        <f aca="false">PROPER(TRIM('Raw_Data (Before)'!B104))</f>
        <v>Ruth Abubakar</v>
      </c>
      <c r="C104" s="7" t="str">
        <f aca="false">IFERROR(INDEX(Lookup_Tables!$B$5:$B$24,MATCH(UPPER(TRIM('Raw_Data (Before)'!C104)),Lookup_Tables!$A$5:$A$24,0)),"UNMAPPED")</f>
        <v>Operations</v>
      </c>
      <c r="D104" s="7" t="str">
        <f aca="false">IFERROR(INDEX(Lookup_Tables!$E$5:$E$8,MATCH(UPPER(TRIM('Raw_Data (Before)'!D104)),Lookup_Tables!$D$5:$D$8,0)),"UNMAPPED")</f>
        <v>Female</v>
      </c>
      <c r="E104" s="7" t="n">
        <f aca="false">'Raw_Data (Before)'!E104</f>
        <v>35</v>
      </c>
      <c r="F104" s="7" t="str">
        <f aca="false">IF(E104="","No",IF(OR(E104&lt;16,E104&gt;75),"No","Yes"))</f>
        <v>Yes</v>
      </c>
      <c r="G104" s="7" t="n">
        <f aca="false">IFERROR(VALUE(SUBSTITUTE(SUBSTITUTE('Raw_Data (Before)'!F104,"₦",""),",","")),"")</f>
        <v>722271</v>
      </c>
      <c r="H104" s="7" t="str">
        <f aca="false">IF(G104="","No",IF(OR(G104&lt;=0,G104&gt;5000000),"No","Yes"))</f>
        <v>Yes</v>
      </c>
      <c r="I104" s="8" t="n">
        <f aca="false">IFERROR(DATEVALUE('Raw_Data (Before)'!G104),"")</f>
        <v>43395</v>
      </c>
      <c r="J104" s="7" t="str">
        <f aca="false">IF(I104="","No","Yes")</f>
        <v>Yes</v>
      </c>
      <c r="K104" s="7" t="str">
        <f aca="false">IF(OR(ISERROR(FIND("@",'Raw_Data (Before)'!H104)),ISNUMBER(FIND("@@",'Raw_Data (Before)'!H104)),ISNUMBER(FIND(" ",'Raw_Data (Before)'!H104)),ISERROR(FIND(".",'Raw_Data (Before)'!H104,FIND("@",'Raw_Data (Before)'!H104)))),"No","Yes")</f>
        <v>Yes</v>
      </c>
      <c r="L104" s="7" t="str">
        <f aca="false">IFERROR(INDEX(Lookup_Tables!$H$5:$H$9,MATCH(UPPER(TRIM('Raw_Data (Before)'!I104)),Lookup_Tables!$G$5:$G$9,0)),"UNMAPPED")</f>
        <v>Active</v>
      </c>
      <c r="M104" s="7" t="str">
        <f aca="false">IF(COUNTIF('Raw_Data (Before)'!$A$5:$A$424,A104)&gt;1,"YES","No")</f>
        <v>No</v>
      </c>
      <c r="N104" s="7" t="str">
        <f aca="false">IF(OR(C104="UNMAPPED",D104="UNMAPPED",F104="No",H104="No",J104="No",K104="No",L104="UNMAPPED",M104="YES"),"NEEDS REVIEW","OK")</f>
        <v>OK</v>
      </c>
    </row>
    <row r="105" customFormat="false" ht="15" hidden="false" customHeight="false" outlineLevel="0" collapsed="false">
      <c r="A105" s="7" t="str">
        <f aca="false">'Raw_Data (Before)'!A105</f>
        <v>EMP0215</v>
      </c>
      <c r="B105" s="7" t="str">
        <f aca="false">PROPER(TRIM('Raw_Data (Before)'!B105))</f>
        <v>Bisi Ajayi</v>
      </c>
      <c r="C105" s="7" t="str">
        <f aca="false">IFERROR(INDEX(Lookup_Tables!$B$5:$B$24,MATCH(UPPER(TRIM('Raw_Data (Before)'!C105)),Lookup_Tables!$A$5:$A$24,0)),"UNMAPPED")</f>
        <v>IT</v>
      </c>
      <c r="D105" s="7" t="str">
        <f aca="false">IFERROR(INDEX(Lookup_Tables!$E$5:$E$8,MATCH(UPPER(TRIM('Raw_Data (Before)'!D105)),Lookup_Tables!$D$5:$D$8,0)),"UNMAPPED")</f>
        <v>Female</v>
      </c>
      <c r="E105" s="7" t="n">
        <f aca="false">'Raw_Data (Before)'!E105</f>
        <v>999</v>
      </c>
      <c r="F105" s="7" t="str">
        <f aca="false">IF(E105="","No",IF(OR(E105&lt;16,E105&gt;75),"No","Yes"))</f>
        <v>No</v>
      </c>
      <c r="G105" s="7" t="n">
        <f aca="false">IFERROR(VALUE(SUBSTITUTE(SUBSTITUTE('Raw_Data (Before)'!F105,"₦",""),",","")),"")</f>
        <v>333576</v>
      </c>
      <c r="H105" s="7" t="str">
        <f aca="false">IF(G105="","No",IF(OR(G105&lt;=0,G105&gt;5000000),"No","Yes"))</f>
        <v>Yes</v>
      </c>
      <c r="I105" s="8" t="n">
        <f aca="false">IFERROR(DATEVALUE('Raw_Data (Before)'!G105),"")</f>
        <v>43226</v>
      </c>
      <c r="J105" s="7" t="str">
        <f aca="false">IF(I105="","No","Yes")</f>
        <v>Yes</v>
      </c>
      <c r="K105" s="7" t="str">
        <f aca="false">IF(OR(ISERROR(FIND("@",'Raw_Data (Before)'!H105)),ISNUMBER(FIND("@@",'Raw_Data (Before)'!H105)),ISNUMBER(FIND(" ",'Raw_Data (Before)'!H105)),ISERROR(FIND(".",'Raw_Data (Before)'!H105,FIND("@",'Raw_Data (Before)'!H105)))),"No","Yes")</f>
        <v>Yes</v>
      </c>
      <c r="L105" s="7" t="str">
        <f aca="false">IFERROR(INDEX(Lookup_Tables!$H$5:$H$9,MATCH(UPPER(TRIM('Raw_Data (Before)'!I105)),Lookup_Tables!$G$5:$G$9,0)),"UNMAPPED")</f>
        <v>Inactive</v>
      </c>
      <c r="M105" s="7" t="str">
        <f aca="false">IF(COUNTIF('Raw_Data (Before)'!$A$5:$A$424,A105)&gt;1,"YES","No")</f>
        <v>No</v>
      </c>
      <c r="N105" s="7" t="str">
        <f aca="false">IF(OR(C105="UNMAPPED",D105="UNMAPPED",F105="No",H105="No",J105="No",K105="No",L105="UNMAPPED",M105="YES"),"NEEDS REVIEW","OK")</f>
        <v>NEEDS REVIEW</v>
      </c>
    </row>
    <row r="106" customFormat="false" ht="15" hidden="false" customHeight="false" outlineLevel="0" collapsed="false">
      <c r="A106" s="7" t="str">
        <f aca="false">'Raw_Data (Before)'!A106</f>
        <v>EMP0087</v>
      </c>
      <c r="B106" s="7" t="str">
        <f aca="false">PROPER(TRIM('Raw_Data (Before)'!B106))</f>
        <v>Bisi Sani</v>
      </c>
      <c r="C106" s="7" t="str">
        <f aca="false">IFERROR(INDEX(Lookup_Tables!$B$5:$B$24,MATCH(UPPER(TRIM('Raw_Data (Before)'!C106)),Lookup_Tables!$A$5:$A$24,0)),"UNMAPPED")</f>
        <v>Marketing</v>
      </c>
      <c r="D106" s="7" t="str">
        <f aca="false">IFERROR(INDEX(Lookup_Tables!$E$5:$E$8,MATCH(UPPER(TRIM('Raw_Data (Before)'!D106)),Lookup_Tables!$D$5:$D$8,0)),"UNMAPPED")</f>
        <v>Female</v>
      </c>
      <c r="E106" s="7" t="n">
        <f aca="false">'Raw_Data (Before)'!E106</f>
        <v>53</v>
      </c>
      <c r="F106" s="7" t="str">
        <f aca="false">IF(E106="","No",IF(OR(E106&lt;16,E106&gt;75),"No","Yes"))</f>
        <v>Yes</v>
      </c>
      <c r="G106" s="7" t="n">
        <f aca="false">IFERROR(VALUE(SUBSTITUTE(SUBSTITUTE('Raw_Data (Before)'!F106,"₦",""),",","")),"")</f>
        <v>95967</v>
      </c>
      <c r="H106" s="7" t="str">
        <f aca="false">IF(G106="","No",IF(OR(G106&lt;=0,G106&gt;5000000),"No","Yes"))</f>
        <v>Yes</v>
      </c>
      <c r="I106" s="8" t="str">
        <f aca="false">IFERROR(DATEVALUE('Raw_Data (Before)'!G106),"")</f>
        <v/>
      </c>
      <c r="J106" s="7" t="str">
        <f aca="false">IF(I106="","No","Yes")</f>
        <v>No</v>
      </c>
      <c r="K106" s="7" t="str">
        <f aca="false">IF(OR(ISERROR(FIND("@",'Raw_Data (Before)'!H106)),ISNUMBER(FIND("@@",'Raw_Data (Before)'!H106)),ISNUMBER(FIND(" ",'Raw_Data (Before)'!H106)),ISERROR(FIND(".",'Raw_Data (Before)'!H106,FIND("@",'Raw_Data (Before)'!H106)))),"No","Yes")</f>
        <v>Yes</v>
      </c>
      <c r="L106" s="7" t="str">
        <f aca="false">IFERROR(INDEX(Lookup_Tables!$H$5:$H$9,MATCH(UPPER(TRIM('Raw_Data (Before)'!I106)),Lookup_Tables!$G$5:$G$9,0)),"UNMAPPED")</f>
        <v>Inactive</v>
      </c>
      <c r="M106" s="7" t="str">
        <f aca="false">IF(COUNTIF('Raw_Data (Before)'!$A$5:$A$424,A106)&gt;1,"YES","No")</f>
        <v>No</v>
      </c>
      <c r="N106" s="7" t="str">
        <f aca="false">IF(OR(C106="UNMAPPED",D106="UNMAPPED",F106="No",H106="No",J106="No",K106="No",L106="UNMAPPED",M106="YES"),"NEEDS REVIEW","OK")</f>
        <v>NEEDS REVIEW</v>
      </c>
    </row>
    <row r="107" customFormat="false" ht="15" hidden="false" customHeight="false" outlineLevel="0" collapsed="false">
      <c r="A107" s="7" t="str">
        <f aca="false">'Raw_Data (Before)'!A107</f>
        <v>EMP0289</v>
      </c>
      <c r="B107" s="7" t="str">
        <f aca="false">PROPER(TRIM('Raw_Data (Before)'!B107))</f>
        <v>Ifeoma Nnamdi</v>
      </c>
      <c r="C107" s="7" t="str">
        <f aca="false">IFERROR(INDEX(Lookup_Tables!$B$5:$B$24,MATCH(UPPER(TRIM('Raw_Data (Before)'!C107)),Lookup_Tables!$A$5:$A$24,0)),"UNMAPPED")</f>
        <v>Customer Service</v>
      </c>
      <c r="D107" s="7" t="str">
        <f aca="false">IFERROR(INDEX(Lookup_Tables!$E$5:$E$8,MATCH(UPPER(TRIM('Raw_Data (Before)'!D107)),Lookup_Tables!$D$5:$D$8,0)),"UNMAPPED")</f>
        <v>Male</v>
      </c>
      <c r="E107" s="7" t="n">
        <f aca="false">'Raw_Data (Before)'!E107</f>
        <v>60</v>
      </c>
      <c r="F107" s="7" t="str">
        <f aca="false">IF(E107="","No",IF(OR(E107&lt;16,E107&gt;75),"No","Yes"))</f>
        <v>Yes</v>
      </c>
      <c r="G107" s="7" t="n">
        <f aca="false">IFERROR(VALUE(SUBSTITUTE(SUBSTITUTE('Raw_Data (Before)'!F107,"₦",""),",","")),"")</f>
        <v>170547</v>
      </c>
      <c r="H107" s="7" t="str">
        <f aca="false">IF(G107="","No",IF(OR(G107&lt;=0,G107&gt;5000000),"No","Yes"))</f>
        <v>Yes</v>
      </c>
      <c r="I107" s="8" t="n">
        <f aca="false">IFERROR(DATEVALUE('Raw_Data (Before)'!G107),"")</f>
        <v>45852</v>
      </c>
      <c r="J107" s="7" t="str">
        <f aca="false">IF(I107="","No","Yes")</f>
        <v>Yes</v>
      </c>
      <c r="K107" s="7" t="str">
        <f aca="false">IF(OR(ISERROR(FIND("@",'Raw_Data (Before)'!H107)),ISNUMBER(FIND("@@",'Raw_Data (Before)'!H107)),ISNUMBER(FIND(" ",'Raw_Data (Before)'!H107)),ISERROR(FIND(".",'Raw_Data (Before)'!H107,FIND("@",'Raw_Data (Before)'!H107)))),"No","Yes")</f>
        <v>Yes</v>
      </c>
      <c r="L107" s="7" t="str">
        <f aca="false">IFERROR(INDEX(Lookup_Tables!$H$5:$H$9,MATCH(UPPER(TRIM('Raw_Data (Before)'!I107)),Lookup_Tables!$G$5:$G$9,0)),"UNMAPPED")</f>
        <v>Active</v>
      </c>
      <c r="M107" s="7" t="str">
        <f aca="false">IF(COUNTIF('Raw_Data (Before)'!$A$5:$A$424,A107)&gt;1,"YES","No")</f>
        <v>YES</v>
      </c>
      <c r="N107" s="7" t="str">
        <f aca="false">IF(OR(C107="UNMAPPED",D107="UNMAPPED",F107="No",H107="No",J107="No",K107="No",L107="UNMAPPED",M107="YES"),"NEEDS REVIEW","OK")</f>
        <v>NEEDS REVIEW</v>
      </c>
    </row>
    <row r="108" customFormat="false" ht="15" hidden="false" customHeight="false" outlineLevel="0" collapsed="false">
      <c r="A108" s="7" t="str">
        <f aca="false">'Raw_Data (Before)'!A108</f>
        <v>EMP0258</v>
      </c>
      <c r="B108" s="7" t="str">
        <f aca="false">PROPER(TRIM('Raw_Data (Before)'!B108))</f>
        <v>Mary Abubakar</v>
      </c>
      <c r="C108" s="7" t="str">
        <f aca="false">IFERROR(INDEX(Lookup_Tables!$B$5:$B$24,MATCH(UPPER(TRIM('Raw_Data (Before)'!C108)),Lookup_Tables!$A$5:$A$24,0)),"UNMAPPED")</f>
        <v>Customer Service</v>
      </c>
      <c r="D108" s="7" t="str">
        <f aca="false">IFERROR(INDEX(Lookup_Tables!$E$5:$E$8,MATCH(UPPER(TRIM('Raw_Data (Before)'!D108)),Lookup_Tables!$D$5:$D$8,0)),"UNMAPPED")</f>
        <v>Male</v>
      </c>
      <c r="E108" s="7" t="n">
        <f aca="false">'Raw_Data (Before)'!E108</f>
        <v>47</v>
      </c>
      <c r="F108" s="7" t="str">
        <f aca="false">IF(E108="","No",IF(OR(E108&lt;16,E108&gt;75),"No","Yes"))</f>
        <v>Yes</v>
      </c>
      <c r="G108" s="7" t="n">
        <f aca="false">IFERROR(VALUE(SUBSTITUTE(SUBSTITUTE('Raw_Data (Before)'!F108,"₦",""),",","")),"")</f>
        <v>773108</v>
      </c>
      <c r="H108" s="7" t="str">
        <f aca="false">IF(G108="","No",IF(OR(G108&lt;=0,G108&gt;5000000),"No","Yes"))</f>
        <v>Yes</v>
      </c>
      <c r="I108" s="8" t="n">
        <f aca="false">IFERROR(DATEVALUE('Raw_Data (Before)'!G108),"")</f>
        <v>43868</v>
      </c>
      <c r="J108" s="7" t="str">
        <f aca="false">IF(I108="","No","Yes")</f>
        <v>Yes</v>
      </c>
      <c r="K108" s="7" t="str">
        <f aca="false">IF(OR(ISERROR(FIND("@",'Raw_Data (Before)'!H108)),ISNUMBER(FIND("@@",'Raw_Data (Before)'!H108)),ISNUMBER(FIND(" ",'Raw_Data (Before)'!H108)),ISERROR(FIND(".",'Raw_Data (Before)'!H108,FIND("@",'Raw_Data (Before)'!H108)))),"No","Yes")</f>
        <v>Yes</v>
      </c>
      <c r="L108" s="7" t="str">
        <f aca="false">IFERROR(INDEX(Lookup_Tables!$H$5:$H$9,MATCH(UPPER(TRIM('Raw_Data (Before)'!I108)),Lookup_Tables!$G$5:$G$9,0)),"UNMAPPED")</f>
        <v>Active</v>
      </c>
      <c r="M108" s="7" t="str">
        <f aca="false">IF(COUNTIF('Raw_Data (Before)'!$A$5:$A$424,A108)&gt;1,"YES","No")</f>
        <v>No</v>
      </c>
      <c r="N108" s="7" t="str">
        <f aca="false">IF(OR(C108="UNMAPPED",D108="UNMAPPED",F108="No",H108="No",J108="No",K108="No",L108="UNMAPPED",M108="YES"),"NEEDS REVIEW","OK")</f>
        <v>OK</v>
      </c>
    </row>
    <row r="109" customFormat="false" ht="15" hidden="false" customHeight="false" outlineLevel="0" collapsed="false">
      <c r="A109" s="7" t="str">
        <f aca="false">'Raw_Data (Before)'!A109</f>
        <v>EMP0170</v>
      </c>
      <c r="B109" s="7" t="str">
        <f aca="false">PROPER(TRIM('Raw_Data (Before)'!B109))</f>
        <v>Tunde Balogun</v>
      </c>
      <c r="C109" s="7" t="str">
        <f aca="false">IFERROR(INDEX(Lookup_Tables!$B$5:$B$24,MATCH(UPPER(TRIM('Raw_Data (Before)'!C109)),Lookup_Tables!$A$5:$A$24,0)),"UNMAPPED")</f>
        <v>Customer Service</v>
      </c>
      <c r="D109" s="7" t="str">
        <f aca="false">IFERROR(INDEX(Lookup_Tables!$E$5:$E$8,MATCH(UPPER(TRIM('Raw_Data (Before)'!D109)),Lookup_Tables!$D$5:$D$8,0)),"UNMAPPED")</f>
        <v>Male</v>
      </c>
      <c r="E109" s="7" t="n">
        <f aca="false">'Raw_Data (Before)'!E109</f>
        <v>38</v>
      </c>
      <c r="F109" s="7" t="str">
        <f aca="false">IF(E109="","No",IF(OR(E109&lt;16,E109&gt;75),"No","Yes"))</f>
        <v>Yes</v>
      </c>
      <c r="G109" s="7" t="n">
        <f aca="false">IFERROR(VALUE(SUBSTITUTE(SUBSTITUTE('Raw_Data (Before)'!F109,"₦",""),",","")),"")</f>
        <v>776542</v>
      </c>
      <c r="H109" s="7" t="str">
        <f aca="false">IF(G109="","No",IF(OR(G109&lt;=0,G109&gt;5000000),"No","Yes"))</f>
        <v>Yes</v>
      </c>
      <c r="I109" s="8" t="n">
        <f aca="false">IFERROR(DATEVALUE('Raw_Data (Before)'!G109),"")</f>
        <v>44511</v>
      </c>
      <c r="J109" s="7" t="str">
        <f aca="false">IF(I109="","No","Yes")</f>
        <v>Yes</v>
      </c>
      <c r="K109" s="7" t="str">
        <f aca="false">IF(OR(ISERROR(FIND("@",'Raw_Data (Before)'!H109)),ISNUMBER(FIND("@@",'Raw_Data (Before)'!H109)),ISNUMBER(FIND(" ",'Raw_Data (Before)'!H109)),ISERROR(FIND(".",'Raw_Data (Before)'!H109,FIND("@",'Raw_Data (Before)'!H109)))),"No","Yes")</f>
        <v>Yes</v>
      </c>
      <c r="L109" s="7" t="str">
        <f aca="false">IFERROR(INDEX(Lookup_Tables!$H$5:$H$9,MATCH(UPPER(TRIM('Raw_Data (Before)'!I109)),Lookup_Tables!$G$5:$G$9,0)),"UNMAPPED")</f>
        <v>Active</v>
      </c>
      <c r="M109" s="7" t="str">
        <f aca="false">IF(COUNTIF('Raw_Data (Before)'!$A$5:$A$424,A109)&gt;1,"YES","No")</f>
        <v>No</v>
      </c>
      <c r="N109" s="7" t="str">
        <f aca="false">IF(OR(C109="UNMAPPED",D109="UNMAPPED",F109="No",H109="No",J109="No",K109="No",L109="UNMAPPED",M109="YES"),"NEEDS REVIEW","OK")</f>
        <v>OK</v>
      </c>
    </row>
    <row r="110" customFormat="false" ht="15" hidden="false" customHeight="false" outlineLevel="0" collapsed="false">
      <c r="A110" s="7" t="str">
        <f aca="false">'Raw_Data (Before)'!A110</f>
        <v>EMP0336</v>
      </c>
      <c r="B110" s="7" t="str">
        <f aca="false">PROPER(TRIM('Raw_Data (Before)'!B110))</f>
        <v>Bisi Obi</v>
      </c>
      <c r="C110" s="7" t="str">
        <f aca="false">IFERROR(INDEX(Lookup_Tables!$B$5:$B$24,MATCH(UPPER(TRIM('Raw_Data (Before)'!C110)),Lookup_Tables!$A$5:$A$24,0)),"UNMAPPED")</f>
        <v>Customer Service</v>
      </c>
      <c r="D110" s="7" t="str">
        <f aca="false">IFERROR(INDEX(Lookup_Tables!$E$5:$E$8,MATCH(UPPER(TRIM('Raw_Data (Before)'!D110)),Lookup_Tables!$D$5:$D$8,0)),"UNMAPPED")</f>
        <v>Female</v>
      </c>
      <c r="E110" s="7" t="n">
        <f aca="false">'Raw_Data (Before)'!E110</f>
        <v>29</v>
      </c>
      <c r="F110" s="7" t="str">
        <f aca="false">IF(E110="","No",IF(OR(E110&lt;16,E110&gt;75),"No","Yes"))</f>
        <v>Yes</v>
      </c>
      <c r="G110" s="7" t="n">
        <f aca="false">IFERROR(VALUE(SUBSTITUTE(SUBSTITUTE('Raw_Data (Before)'!F110,"₦",""),",","")),"")</f>
        <v>331449</v>
      </c>
      <c r="H110" s="7" t="str">
        <f aca="false">IF(G110="","No",IF(OR(G110&lt;=0,G110&gt;5000000),"No","Yes"))</f>
        <v>Yes</v>
      </c>
      <c r="I110" s="8" t="n">
        <f aca="false">IFERROR(DATEVALUE('Raw_Data (Before)'!G110),"")</f>
        <v>44660</v>
      </c>
      <c r="J110" s="7" t="str">
        <f aca="false">IF(I110="","No","Yes")</f>
        <v>Yes</v>
      </c>
      <c r="K110" s="7" t="str">
        <f aca="false">IF(OR(ISERROR(FIND("@",'Raw_Data (Before)'!H110)),ISNUMBER(FIND("@@",'Raw_Data (Before)'!H110)),ISNUMBER(FIND(" ",'Raw_Data (Before)'!H110)),ISERROR(FIND(".",'Raw_Data (Before)'!H110,FIND("@",'Raw_Data (Before)'!H110)))),"No","Yes")</f>
        <v>Yes</v>
      </c>
      <c r="L110" s="7" t="str">
        <f aca="false">IFERROR(INDEX(Lookup_Tables!$H$5:$H$9,MATCH(UPPER(TRIM('Raw_Data (Before)'!I110)),Lookup_Tables!$G$5:$G$9,0)),"UNMAPPED")</f>
        <v>Active</v>
      </c>
      <c r="M110" s="7" t="str">
        <f aca="false">IF(COUNTIF('Raw_Data (Before)'!$A$5:$A$424,A110)&gt;1,"YES","No")</f>
        <v>No</v>
      </c>
      <c r="N110" s="7" t="str">
        <f aca="false">IF(OR(C110="UNMAPPED",D110="UNMAPPED",F110="No",H110="No",J110="No",K110="No",L110="UNMAPPED",M110="YES"),"NEEDS REVIEW","OK")</f>
        <v>OK</v>
      </c>
    </row>
    <row r="111" customFormat="false" ht="15" hidden="false" customHeight="false" outlineLevel="0" collapsed="false">
      <c r="A111" s="7" t="str">
        <f aca="false">'Raw_Data (Before)'!A111</f>
        <v>EMP0080</v>
      </c>
      <c r="B111" s="7" t="str">
        <f aca="false">PROPER(TRIM('Raw_Data (Before)'!B111))</f>
        <v>Comfort Ajayi</v>
      </c>
      <c r="C111" s="7" t="str">
        <f aca="false">IFERROR(INDEX(Lookup_Tables!$B$5:$B$24,MATCH(UPPER(TRIM('Raw_Data (Before)'!C111)),Lookup_Tables!$A$5:$A$24,0)),"UNMAPPED")</f>
        <v>Finance</v>
      </c>
      <c r="D111" s="7" t="str">
        <f aca="false">IFERROR(INDEX(Lookup_Tables!$E$5:$E$8,MATCH(UPPER(TRIM('Raw_Data (Before)'!D111)),Lookup_Tables!$D$5:$D$8,0)),"UNMAPPED")</f>
        <v>Male</v>
      </c>
      <c r="E111" s="7" t="n">
        <f aca="false">'Raw_Data (Before)'!E111</f>
        <v>58</v>
      </c>
      <c r="F111" s="7" t="str">
        <f aca="false">IF(E111="","No",IF(OR(E111&lt;16,E111&gt;75),"No","Yes"))</f>
        <v>Yes</v>
      </c>
      <c r="G111" s="7" t="n">
        <f aca="false">IFERROR(VALUE(SUBSTITUTE(SUBSTITUTE('Raw_Data (Before)'!F111,"₦",""),",","")),"")</f>
        <v>775938</v>
      </c>
      <c r="H111" s="7" t="str">
        <f aca="false">IF(G111="","No",IF(OR(G111&lt;=0,G111&gt;5000000),"No","Yes"))</f>
        <v>Yes</v>
      </c>
      <c r="I111" s="8" t="n">
        <f aca="false">IFERROR(DATEVALUE('Raw_Data (Before)'!G111),"")</f>
        <v>44371</v>
      </c>
      <c r="J111" s="7" t="str">
        <f aca="false">IF(I111="","No","Yes")</f>
        <v>Yes</v>
      </c>
      <c r="K111" s="7" t="str">
        <f aca="false">IF(OR(ISERROR(FIND("@",'Raw_Data (Before)'!H111)),ISNUMBER(FIND("@@",'Raw_Data (Before)'!H111)),ISNUMBER(FIND(" ",'Raw_Data (Before)'!H111)),ISERROR(FIND(".",'Raw_Data (Before)'!H111,FIND("@",'Raw_Data (Before)'!H111)))),"No","Yes")</f>
        <v>Yes</v>
      </c>
      <c r="L111" s="7" t="str">
        <f aca="false">IFERROR(INDEX(Lookup_Tables!$H$5:$H$9,MATCH(UPPER(TRIM('Raw_Data (Before)'!I111)),Lookup_Tables!$G$5:$G$9,0)),"UNMAPPED")</f>
        <v>Active</v>
      </c>
      <c r="M111" s="7" t="str">
        <f aca="false">IF(COUNTIF('Raw_Data (Before)'!$A$5:$A$424,A111)&gt;1,"YES","No")</f>
        <v>No</v>
      </c>
      <c r="N111" s="7" t="str">
        <f aca="false">IF(OR(C111="UNMAPPED",D111="UNMAPPED",F111="No",H111="No",J111="No",K111="No",L111="UNMAPPED",M111="YES"),"NEEDS REVIEW","OK")</f>
        <v>OK</v>
      </c>
    </row>
    <row r="112" customFormat="false" ht="15" hidden="false" customHeight="false" outlineLevel="0" collapsed="false">
      <c r="A112" s="7" t="str">
        <f aca="false">'Raw_Data (Before)'!A112</f>
        <v>EMP0256</v>
      </c>
      <c r="B112" s="7" t="str">
        <f aca="false">PROPER(TRIM('Raw_Data (Before)'!B112))</f>
        <v>Gabriel Uche</v>
      </c>
      <c r="C112" s="7" t="str">
        <f aca="false">IFERROR(INDEX(Lookup_Tables!$B$5:$B$24,MATCH(UPPER(TRIM('Raw_Data (Before)'!C112)),Lookup_Tables!$A$5:$A$24,0)),"UNMAPPED")</f>
        <v>Marketing</v>
      </c>
      <c r="D112" s="7" t="str">
        <f aca="false">IFERROR(INDEX(Lookup_Tables!$E$5:$E$8,MATCH(UPPER(TRIM('Raw_Data (Before)'!D112)),Lookup_Tables!$D$5:$D$8,0)),"UNMAPPED")</f>
        <v>Female</v>
      </c>
      <c r="E112" s="7" t="n">
        <f aca="false">'Raw_Data (Before)'!E112</f>
        <v>35</v>
      </c>
      <c r="F112" s="7" t="str">
        <f aca="false">IF(E112="","No",IF(OR(E112&lt;16,E112&gt;75),"No","Yes"))</f>
        <v>Yes</v>
      </c>
      <c r="G112" s="7" t="n">
        <f aca="false">IFERROR(VALUE(SUBSTITUTE(SUBSTITUTE('Raw_Data (Before)'!F112,"₦",""),",","")),"")</f>
        <v>764170</v>
      </c>
      <c r="H112" s="7" t="str">
        <f aca="false">IF(G112="","No",IF(OR(G112&lt;=0,G112&gt;5000000),"No","Yes"))</f>
        <v>Yes</v>
      </c>
      <c r="I112" s="8" t="n">
        <f aca="false">IFERROR(DATEVALUE('Raw_Data (Before)'!G112),"")</f>
        <v>44653</v>
      </c>
      <c r="J112" s="7" t="str">
        <f aca="false">IF(I112="","No","Yes")</f>
        <v>Yes</v>
      </c>
      <c r="K112" s="7" t="str">
        <f aca="false">IF(OR(ISERROR(FIND("@",'Raw_Data (Before)'!H112)),ISNUMBER(FIND("@@",'Raw_Data (Before)'!H112)),ISNUMBER(FIND(" ",'Raw_Data (Before)'!H112)),ISERROR(FIND(".",'Raw_Data (Before)'!H112,FIND("@",'Raw_Data (Before)'!H112)))),"No","Yes")</f>
        <v>Yes</v>
      </c>
      <c r="L112" s="7" t="str">
        <f aca="false">IFERROR(INDEX(Lookup_Tables!$H$5:$H$9,MATCH(UPPER(TRIM('Raw_Data (Before)'!I112)),Lookup_Tables!$G$5:$G$9,0)),"UNMAPPED")</f>
        <v>Active</v>
      </c>
      <c r="M112" s="7" t="str">
        <f aca="false">IF(COUNTIF('Raw_Data (Before)'!$A$5:$A$424,A112)&gt;1,"YES","No")</f>
        <v>No</v>
      </c>
      <c r="N112" s="7" t="str">
        <f aca="false">IF(OR(C112="UNMAPPED",D112="UNMAPPED",F112="No",H112="No",J112="No",K112="No",L112="UNMAPPED",M112="YES"),"NEEDS REVIEW","OK")</f>
        <v>OK</v>
      </c>
    </row>
    <row r="113" customFormat="false" ht="15" hidden="false" customHeight="false" outlineLevel="0" collapsed="false">
      <c r="A113" s="7" t="str">
        <f aca="false">'Raw_Data (Before)'!A113</f>
        <v>EMP0054</v>
      </c>
      <c r="B113" s="7" t="str">
        <f aca="false">PROPER(TRIM('Raw_Data (Before)'!B113))</f>
        <v>Musa Ajayi</v>
      </c>
      <c r="C113" s="7" t="str">
        <f aca="false">IFERROR(INDEX(Lookup_Tables!$B$5:$B$24,MATCH(UPPER(TRIM('Raw_Data (Before)'!C113)),Lookup_Tables!$A$5:$A$24,0)),"UNMAPPED")</f>
        <v>HR</v>
      </c>
      <c r="D113" s="7" t="str">
        <f aca="false">IFERROR(INDEX(Lookup_Tables!$E$5:$E$8,MATCH(UPPER(TRIM('Raw_Data (Before)'!D113)),Lookup_Tables!$D$5:$D$8,0)),"UNMAPPED")</f>
        <v>Female</v>
      </c>
      <c r="E113" s="7" t="n">
        <f aca="false">'Raw_Data (Before)'!E113</f>
        <v>52</v>
      </c>
      <c r="F113" s="7" t="str">
        <f aca="false">IF(E113="","No",IF(OR(E113&lt;16,E113&gt;75),"No","Yes"))</f>
        <v>Yes</v>
      </c>
      <c r="G113" s="7" t="n">
        <f aca="false">IFERROR(VALUE(SUBSTITUTE(SUBSTITUTE('Raw_Data (Before)'!F113,"₦",""),",","")),"")</f>
        <v>517286</v>
      </c>
      <c r="H113" s="7" t="str">
        <f aca="false">IF(G113="","No",IF(OR(G113&lt;=0,G113&gt;5000000),"No","Yes"))</f>
        <v>Yes</v>
      </c>
      <c r="I113" s="8" t="n">
        <f aca="false">IFERROR(DATEVALUE('Raw_Data (Before)'!G113),"")</f>
        <v>45362</v>
      </c>
      <c r="J113" s="7" t="str">
        <f aca="false">IF(I113="","No","Yes")</f>
        <v>Yes</v>
      </c>
      <c r="K113" s="7" t="str">
        <f aca="false">IF(OR(ISERROR(FIND("@",'Raw_Data (Before)'!H113)),ISNUMBER(FIND("@@",'Raw_Data (Before)'!H113)),ISNUMBER(FIND(" ",'Raw_Data (Before)'!H113)),ISERROR(FIND(".",'Raw_Data (Before)'!H113,FIND("@",'Raw_Data (Before)'!H113)))),"No","Yes")</f>
        <v>No</v>
      </c>
      <c r="L113" s="7" t="str">
        <f aca="false">IFERROR(INDEX(Lookup_Tables!$H$5:$H$9,MATCH(UPPER(TRIM('Raw_Data (Before)'!I113)),Lookup_Tables!$G$5:$G$9,0)),"UNMAPPED")</f>
        <v>Active</v>
      </c>
      <c r="M113" s="7" t="str">
        <f aca="false">IF(COUNTIF('Raw_Data (Before)'!$A$5:$A$424,A113)&gt;1,"YES","No")</f>
        <v>No</v>
      </c>
      <c r="N113" s="7" t="str">
        <f aca="false">IF(OR(C113="UNMAPPED",D113="UNMAPPED",F113="No",H113="No",J113="No",K113="No",L113="UNMAPPED",M113="YES"),"NEEDS REVIEW","OK")</f>
        <v>NEEDS REVIEW</v>
      </c>
    </row>
    <row r="114" customFormat="false" ht="15" hidden="false" customHeight="false" outlineLevel="0" collapsed="false">
      <c r="A114" s="7" t="str">
        <f aca="false">'Raw_Data (Before)'!A114</f>
        <v>EMP0307</v>
      </c>
      <c r="B114" s="7" t="str">
        <f aca="false">PROPER(TRIM('Raw_Data (Before)'!B114))</f>
        <v>Grace Yakubu</v>
      </c>
      <c r="C114" s="7" t="str">
        <f aca="false">IFERROR(INDEX(Lookup_Tables!$B$5:$B$24,MATCH(UPPER(TRIM('Raw_Data (Before)'!C114)),Lookup_Tables!$A$5:$A$24,0)),"UNMAPPED")</f>
        <v>Marketing</v>
      </c>
      <c r="D114" s="7" t="str">
        <f aca="false">IFERROR(INDEX(Lookup_Tables!$E$5:$E$8,MATCH(UPPER(TRIM('Raw_Data (Before)'!D114)),Lookup_Tables!$D$5:$D$8,0)),"UNMAPPED")</f>
        <v>Male</v>
      </c>
      <c r="E114" s="7" t="n">
        <f aca="false">'Raw_Data (Before)'!E114</f>
        <v>41</v>
      </c>
      <c r="F114" s="7" t="str">
        <f aca="false">IF(E114="","No",IF(OR(E114&lt;16,E114&gt;75),"No","Yes"))</f>
        <v>Yes</v>
      </c>
      <c r="G114" s="7" t="str">
        <f aca="false">IFERROR(VALUE(SUBSTITUTE(SUBSTITUTE('Raw_Data (Before)'!F114,"₦",""),",","")),"")</f>
        <v/>
      </c>
      <c r="H114" s="7" t="str">
        <f aca="false">IF(G114="","No",IF(OR(G114&lt;=0,G114&gt;5000000),"No","Yes"))</f>
        <v>No</v>
      </c>
      <c r="I114" s="8" t="n">
        <f aca="false">IFERROR(DATEVALUE('Raw_Data (Before)'!G114),"")</f>
        <v>45768</v>
      </c>
      <c r="J114" s="7" t="str">
        <f aca="false">IF(I114="","No","Yes")</f>
        <v>Yes</v>
      </c>
      <c r="K114" s="7" t="str">
        <f aca="false">IF(OR(ISERROR(FIND("@",'Raw_Data (Before)'!H114)),ISNUMBER(FIND("@@",'Raw_Data (Before)'!H114)),ISNUMBER(FIND(" ",'Raw_Data (Before)'!H114)),ISERROR(FIND(".",'Raw_Data (Before)'!H114,FIND("@",'Raw_Data (Before)'!H114)))),"No","Yes")</f>
        <v>Yes</v>
      </c>
      <c r="L114" s="7" t="str">
        <f aca="false">IFERROR(INDEX(Lookup_Tables!$H$5:$H$9,MATCH(UPPER(TRIM('Raw_Data (Before)'!I114)),Lookup_Tables!$G$5:$G$9,0)),"UNMAPPED")</f>
        <v>Active</v>
      </c>
      <c r="M114" s="7" t="str">
        <f aca="false">IF(COUNTIF('Raw_Data (Before)'!$A$5:$A$424,A114)&gt;1,"YES","No")</f>
        <v>No</v>
      </c>
      <c r="N114" s="7" t="str">
        <f aca="false">IF(OR(C114="UNMAPPED",D114="UNMAPPED",F114="No",H114="No",J114="No",K114="No",L114="UNMAPPED",M114="YES"),"NEEDS REVIEW","OK")</f>
        <v>NEEDS REVIEW</v>
      </c>
    </row>
    <row r="115" customFormat="false" ht="15" hidden="false" customHeight="false" outlineLevel="0" collapsed="false">
      <c r="A115" s="7" t="str">
        <f aca="false">'Raw_Data (Before)'!A115</f>
        <v>EMP0328</v>
      </c>
      <c r="B115" s="7" t="str">
        <f aca="false">PROPER(TRIM('Raw_Data (Before)'!B115))</f>
        <v>Patience Nnamdi</v>
      </c>
      <c r="C115" s="7" t="str">
        <f aca="false">IFERROR(INDEX(Lookup_Tables!$B$5:$B$24,MATCH(UPPER(TRIM('Raw_Data (Before)'!C115)),Lookup_Tables!$A$5:$A$24,0)),"UNMAPPED")</f>
        <v>Operations</v>
      </c>
      <c r="D115" s="7" t="str">
        <f aca="false">IFERROR(INDEX(Lookup_Tables!$E$5:$E$8,MATCH(UPPER(TRIM('Raw_Data (Before)'!D115)),Lookup_Tables!$D$5:$D$8,0)),"UNMAPPED")</f>
        <v>Male</v>
      </c>
      <c r="E115" s="7" t="n">
        <f aca="false">'Raw_Data (Before)'!E115</f>
        <v>53</v>
      </c>
      <c r="F115" s="7" t="str">
        <f aca="false">IF(E115="","No",IF(OR(E115&lt;16,E115&gt;75),"No","Yes"))</f>
        <v>Yes</v>
      </c>
      <c r="G115" s="7" t="n">
        <f aca="false">IFERROR(VALUE(SUBSTITUTE(SUBSTITUTE('Raw_Data (Before)'!F115,"₦",""),",","")),"")</f>
        <v>312658</v>
      </c>
      <c r="H115" s="7" t="str">
        <f aca="false">IF(G115="","No",IF(OR(G115&lt;=0,G115&gt;5000000),"No","Yes"))</f>
        <v>Yes</v>
      </c>
      <c r="I115" s="8" t="n">
        <f aca="false">IFERROR(DATEVALUE('Raw_Data (Before)'!G115),"")</f>
        <v>45022</v>
      </c>
      <c r="J115" s="7" t="str">
        <f aca="false">IF(I115="","No","Yes")</f>
        <v>Yes</v>
      </c>
      <c r="K115" s="7" t="str">
        <f aca="false">IF(OR(ISERROR(FIND("@",'Raw_Data (Before)'!H115)),ISNUMBER(FIND("@@",'Raw_Data (Before)'!H115)),ISNUMBER(FIND(" ",'Raw_Data (Before)'!H115)),ISERROR(FIND(".",'Raw_Data (Before)'!H115,FIND("@",'Raw_Data (Before)'!H115)))),"No","Yes")</f>
        <v>Yes</v>
      </c>
      <c r="L115" s="7" t="str">
        <f aca="false">IFERROR(INDEX(Lookup_Tables!$H$5:$H$9,MATCH(UPPER(TRIM('Raw_Data (Before)'!I115)),Lookup_Tables!$G$5:$G$9,0)),"UNMAPPED")</f>
        <v>Active</v>
      </c>
      <c r="M115" s="7" t="str">
        <f aca="false">IF(COUNTIF('Raw_Data (Before)'!$A$5:$A$424,A115)&gt;1,"YES","No")</f>
        <v>No</v>
      </c>
      <c r="N115" s="7" t="str">
        <f aca="false">IF(OR(C115="UNMAPPED",D115="UNMAPPED",F115="No",H115="No",J115="No",K115="No",L115="UNMAPPED",M115="YES"),"NEEDS REVIEW","OK")</f>
        <v>OK</v>
      </c>
    </row>
    <row r="116" customFormat="false" ht="15" hidden="false" customHeight="false" outlineLevel="0" collapsed="false">
      <c r="A116" s="7" t="str">
        <f aca="false">'Raw_Data (Before)'!A116</f>
        <v>EMP0190</v>
      </c>
      <c r="B116" s="7" t="str">
        <f aca="false">PROPER(TRIM('Raw_Data (Before)'!B116))</f>
        <v>Emmanuel Okonkwo</v>
      </c>
      <c r="C116" s="7" t="str">
        <f aca="false">IFERROR(INDEX(Lookup_Tables!$B$5:$B$24,MATCH(UPPER(TRIM('Raw_Data (Before)'!C116)),Lookup_Tables!$A$5:$A$24,0)),"UNMAPPED")</f>
        <v>HR</v>
      </c>
      <c r="D116" s="7" t="str">
        <f aca="false">IFERROR(INDEX(Lookup_Tables!$E$5:$E$8,MATCH(UPPER(TRIM('Raw_Data (Before)'!D116)),Lookup_Tables!$D$5:$D$8,0)),"UNMAPPED")</f>
        <v>Male</v>
      </c>
      <c r="E116" s="7" t="n">
        <f aca="false">'Raw_Data (Before)'!E116</f>
        <v>42</v>
      </c>
      <c r="F116" s="7" t="str">
        <f aca="false">IF(E116="","No",IF(OR(E116&lt;16,E116&gt;75),"No","Yes"))</f>
        <v>Yes</v>
      </c>
      <c r="G116" s="7" t="n">
        <f aca="false">IFERROR(VALUE(SUBSTITUTE(SUBSTITUTE('Raw_Data (Before)'!F116,"₦",""),",","")),"")</f>
        <v>718738</v>
      </c>
      <c r="H116" s="7" t="str">
        <f aca="false">IF(G116="","No",IF(OR(G116&lt;=0,G116&gt;5000000),"No","Yes"))</f>
        <v>Yes</v>
      </c>
      <c r="I116" s="8" t="str">
        <f aca="false">IFERROR(DATEVALUE('Raw_Data (Before)'!G116),"")</f>
        <v/>
      </c>
      <c r="J116" s="7" t="str">
        <f aca="false">IF(I116="","No","Yes")</f>
        <v>No</v>
      </c>
      <c r="K116" s="7" t="str">
        <f aca="false">IF(OR(ISERROR(FIND("@",'Raw_Data (Before)'!H116)),ISNUMBER(FIND("@@",'Raw_Data (Before)'!H116)),ISNUMBER(FIND(" ",'Raw_Data (Before)'!H116)),ISERROR(FIND(".",'Raw_Data (Before)'!H116,FIND("@",'Raw_Data (Before)'!H116)))),"No","Yes")</f>
        <v>Yes</v>
      </c>
      <c r="L116" s="7" t="str">
        <f aca="false">IFERROR(INDEX(Lookup_Tables!$H$5:$H$9,MATCH(UPPER(TRIM('Raw_Data (Before)'!I116)),Lookup_Tables!$G$5:$G$9,0)),"UNMAPPED")</f>
        <v>Inactive</v>
      </c>
      <c r="M116" s="7" t="str">
        <f aca="false">IF(COUNTIF('Raw_Data (Before)'!$A$5:$A$424,A116)&gt;1,"YES","No")</f>
        <v>YES</v>
      </c>
      <c r="N116" s="7" t="str">
        <f aca="false">IF(OR(C116="UNMAPPED",D116="UNMAPPED",F116="No",H116="No",J116="No",K116="No",L116="UNMAPPED",M116="YES"),"NEEDS REVIEW","OK")</f>
        <v>NEEDS REVIEW</v>
      </c>
    </row>
    <row r="117" customFormat="false" ht="15" hidden="false" customHeight="false" outlineLevel="0" collapsed="false">
      <c r="A117" s="7" t="str">
        <f aca="false">'Raw_Data (Before)'!A117</f>
        <v>EMP0385</v>
      </c>
      <c r="B117" s="7" t="str">
        <f aca="false">PROPER(TRIM('Raw_Data (Before)'!B117))</f>
        <v>Emeka Okafor</v>
      </c>
      <c r="C117" s="7" t="str">
        <f aca="false">IFERROR(INDEX(Lookup_Tables!$B$5:$B$24,MATCH(UPPER(TRIM('Raw_Data (Before)'!C117)),Lookup_Tables!$A$5:$A$24,0)),"UNMAPPED")</f>
        <v>Sales</v>
      </c>
      <c r="D117" s="7" t="str">
        <f aca="false">IFERROR(INDEX(Lookup_Tables!$E$5:$E$8,MATCH(UPPER(TRIM('Raw_Data (Before)'!D117)),Lookup_Tables!$D$5:$D$8,0)),"UNMAPPED")</f>
        <v>Male</v>
      </c>
      <c r="E117" s="7" t="n">
        <f aca="false">'Raw_Data (Before)'!E117</f>
        <v>44</v>
      </c>
      <c r="F117" s="7" t="str">
        <f aca="false">IF(E117="","No",IF(OR(E117&lt;16,E117&gt;75),"No","Yes"))</f>
        <v>Yes</v>
      </c>
      <c r="G117" s="7" t="n">
        <f aca="false">IFERROR(VALUE(SUBSTITUTE(SUBSTITUTE('Raw_Data (Before)'!F117,"₦",""),",","")),"")</f>
        <v>506401</v>
      </c>
      <c r="H117" s="7" t="str">
        <f aca="false">IF(G117="","No",IF(OR(G117&lt;=0,G117&gt;5000000),"No","Yes"))</f>
        <v>Yes</v>
      </c>
      <c r="I117" s="8" t="str">
        <f aca="false">IFERROR(DATEVALUE('Raw_Data (Before)'!G117),"")</f>
        <v/>
      </c>
      <c r="J117" s="7" t="str">
        <f aca="false">IF(I117="","No","Yes")</f>
        <v>No</v>
      </c>
      <c r="K117" s="7" t="str">
        <f aca="false">IF(OR(ISERROR(FIND("@",'Raw_Data (Before)'!H117)),ISNUMBER(FIND("@@",'Raw_Data (Before)'!H117)),ISNUMBER(FIND(" ",'Raw_Data (Before)'!H117)),ISERROR(FIND(".",'Raw_Data (Before)'!H117,FIND("@",'Raw_Data (Before)'!H117)))),"No","Yes")</f>
        <v>Yes</v>
      </c>
      <c r="L117" s="7" t="str">
        <f aca="false">IFERROR(INDEX(Lookup_Tables!$H$5:$H$9,MATCH(UPPER(TRIM('Raw_Data (Before)'!I117)),Lookup_Tables!$G$5:$G$9,0)),"UNMAPPED")</f>
        <v>Active</v>
      </c>
      <c r="M117" s="7" t="str">
        <f aca="false">IF(COUNTIF('Raw_Data (Before)'!$A$5:$A$424,A117)&gt;1,"YES","No")</f>
        <v>No</v>
      </c>
      <c r="N117" s="7" t="str">
        <f aca="false">IF(OR(C117="UNMAPPED",D117="UNMAPPED",F117="No",H117="No",J117="No",K117="No",L117="UNMAPPED",M117="YES"),"NEEDS REVIEW","OK")</f>
        <v>NEEDS REVIEW</v>
      </c>
    </row>
    <row r="118" customFormat="false" ht="15" hidden="false" customHeight="false" outlineLevel="0" collapsed="false">
      <c r="A118" s="7" t="str">
        <f aca="false">'Raw_Data (Before)'!A118</f>
        <v>EMP0084</v>
      </c>
      <c r="B118" s="7" t="str">
        <f aca="false">PROPER(TRIM('Raw_Data (Before)'!B118))</f>
        <v>Emmanuel Yakubu</v>
      </c>
      <c r="C118" s="7" t="str">
        <f aca="false">IFERROR(INDEX(Lookup_Tables!$B$5:$B$24,MATCH(UPPER(TRIM('Raw_Data (Before)'!C118)),Lookup_Tables!$A$5:$A$24,0)),"UNMAPPED")</f>
        <v>Finance</v>
      </c>
      <c r="D118" s="7" t="str">
        <f aca="false">IFERROR(INDEX(Lookup_Tables!$E$5:$E$8,MATCH(UPPER(TRIM('Raw_Data (Before)'!D118)),Lookup_Tables!$D$5:$D$8,0)),"UNMAPPED")</f>
        <v>Male</v>
      </c>
      <c r="E118" s="7" t="n">
        <f aca="false">'Raw_Data (Before)'!E118</f>
        <v>24</v>
      </c>
      <c r="F118" s="7" t="str">
        <f aca="false">IF(E118="","No",IF(OR(E118&lt;16,E118&gt;75),"No","Yes"))</f>
        <v>Yes</v>
      </c>
      <c r="G118" s="7" t="n">
        <f aca="false">IFERROR(VALUE(SUBSTITUTE(SUBSTITUTE('Raw_Data (Before)'!F118,"₦",""),",","")),"")</f>
        <v>89670600</v>
      </c>
      <c r="H118" s="7" t="str">
        <f aca="false">IF(G118="","No",IF(OR(G118&lt;=0,G118&gt;5000000),"No","Yes"))</f>
        <v>No</v>
      </c>
      <c r="I118" s="8" t="str">
        <f aca="false">IFERROR(DATEVALUE('Raw_Data (Before)'!G118),"")</f>
        <v/>
      </c>
      <c r="J118" s="7" t="str">
        <f aca="false">IF(I118="","No","Yes")</f>
        <v>No</v>
      </c>
      <c r="K118" s="7" t="str">
        <f aca="false">IF(OR(ISERROR(FIND("@",'Raw_Data (Before)'!H118)),ISNUMBER(FIND("@@",'Raw_Data (Before)'!H118)),ISNUMBER(FIND(" ",'Raw_Data (Before)'!H118)),ISERROR(FIND(".",'Raw_Data (Before)'!H118,FIND("@",'Raw_Data (Before)'!H118)))),"No","Yes")</f>
        <v>Yes</v>
      </c>
      <c r="L118" s="7" t="str">
        <f aca="false">IFERROR(INDEX(Lookup_Tables!$H$5:$H$9,MATCH(UPPER(TRIM('Raw_Data (Before)'!I118)),Lookup_Tables!$G$5:$G$9,0)),"UNMAPPED")</f>
        <v>Active</v>
      </c>
      <c r="M118" s="7" t="str">
        <f aca="false">IF(COUNTIF('Raw_Data (Before)'!$A$5:$A$424,A118)&gt;1,"YES","No")</f>
        <v>No</v>
      </c>
      <c r="N118" s="7" t="str">
        <f aca="false">IF(OR(C118="UNMAPPED",D118="UNMAPPED",F118="No",H118="No",J118="No",K118="No",L118="UNMAPPED",M118="YES"),"NEEDS REVIEW","OK")</f>
        <v>NEEDS REVIEW</v>
      </c>
    </row>
    <row r="119" customFormat="false" ht="15" hidden="false" customHeight="false" outlineLevel="0" collapsed="false">
      <c r="A119" s="7" t="str">
        <f aca="false">'Raw_Data (Before)'!A119</f>
        <v>EMP0301</v>
      </c>
      <c r="B119" s="7" t="str">
        <f aca="false">PROPER(TRIM('Raw_Data (Before)'!B119))</f>
        <v>Mary Chukwu</v>
      </c>
      <c r="C119" s="7" t="str">
        <f aca="false">IFERROR(INDEX(Lookup_Tables!$B$5:$B$24,MATCH(UPPER(TRIM('Raw_Data (Before)'!C119)),Lookup_Tables!$A$5:$A$24,0)),"UNMAPPED")</f>
        <v>IT</v>
      </c>
      <c r="D119" s="7" t="str">
        <f aca="false">IFERROR(INDEX(Lookup_Tables!$E$5:$E$8,MATCH(UPPER(TRIM('Raw_Data (Before)'!D119)),Lookup_Tables!$D$5:$D$8,0)),"UNMAPPED")</f>
        <v>Male</v>
      </c>
      <c r="E119" s="7" t="n">
        <f aca="false">'Raw_Data (Before)'!E119</f>
        <v>28</v>
      </c>
      <c r="F119" s="7" t="str">
        <f aca="false">IF(E119="","No",IF(OR(E119&lt;16,E119&gt;75),"No","Yes"))</f>
        <v>Yes</v>
      </c>
      <c r="G119" s="7" t="n">
        <f aca="false">IFERROR(VALUE(SUBSTITUTE(SUBSTITUTE('Raw_Data (Before)'!F119,"₦",""),",","")),"")</f>
        <v>340353</v>
      </c>
      <c r="H119" s="7" t="str">
        <f aca="false">IF(G119="","No",IF(OR(G119&lt;=0,G119&gt;5000000),"No","Yes"))</f>
        <v>Yes</v>
      </c>
      <c r="I119" s="8" t="n">
        <f aca="false">IFERROR(DATEVALUE('Raw_Data (Before)'!G119),"")</f>
        <v>44618</v>
      </c>
      <c r="J119" s="7" t="str">
        <f aca="false">IF(I119="","No","Yes")</f>
        <v>Yes</v>
      </c>
      <c r="K119" s="7" t="str">
        <f aca="false">IF(OR(ISERROR(FIND("@",'Raw_Data (Before)'!H119)),ISNUMBER(FIND("@@",'Raw_Data (Before)'!H119)),ISNUMBER(FIND(" ",'Raw_Data (Before)'!H119)),ISERROR(FIND(".",'Raw_Data (Before)'!H119,FIND("@",'Raw_Data (Before)'!H119)))),"No","Yes")</f>
        <v>Yes</v>
      </c>
      <c r="L119" s="7" t="str">
        <f aca="false">IFERROR(INDEX(Lookup_Tables!$H$5:$H$9,MATCH(UPPER(TRIM('Raw_Data (Before)'!I119)),Lookup_Tables!$G$5:$G$9,0)),"UNMAPPED")</f>
        <v>Active</v>
      </c>
      <c r="M119" s="7" t="str">
        <f aca="false">IF(COUNTIF('Raw_Data (Before)'!$A$5:$A$424,A119)&gt;1,"YES","No")</f>
        <v>No</v>
      </c>
      <c r="N119" s="7" t="str">
        <f aca="false">IF(OR(C119="UNMAPPED",D119="UNMAPPED",F119="No",H119="No",J119="No",K119="No",L119="UNMAPPED",M119="YES"),"NEEDS REVIEW","OK")</f>
        <v>OK</v>
      </c>
    </row>
    <row r="120" customFormat="false" ht="15" hidden="false" customHeight="false" outlineLevel="0" collapsed="false">
      <c r="A120" s="7" t="str">
        <f aca="false">'Raw_Data (Before)'!A120</f>
        <v>EMP0188</v>
      </c>
      <c r="B120" s="7" t="str">
        <f aca="false">PROPER(TRIM('Raw_Data (Before)'!B120))</f>
        <v>Victor Okafor</v>
      </c>
      <c r="C120" s="7" t="str">
        <f aca="false">IFERROR(INDEX(Lookup_Tables!$B$5:$B$24,MATCH(UPPER(TRIM('Raw_Data (Before)'!C120)),Lookup_Tables!$A$5:$A$24,0)),"UNMAPPED")</f>
        <v>Sales</v>
      </c>
      <c r="D120" s="7" t="str">
        <f aca="false">IFERROR(INDEX(Lookup_Tables!$E$5:$E$8,MATCH(UPPER(TRIM('Raw_Data (Before)'!D120)),Lookup_Tables!$D$5:$D$8,0)),"UNMAPPED")</f>
        <v>Female</v>
      </c>
      <c r="E120" s="7" t="n">
        <f aca="false">'Raw_Data (Before)'!E120</f>
        <v>53</v>
      </c>
      <c r="F120" s="7" t="str">
        <f aca="false">IF(E120="","No",IF(OR(E120&lt;16,E120&gt;75),"No","Yes"))</f>
        <v>Yes</v>
      </c>
      <c r="G120" s="7" t="n">
        <f aca="false">IFERROR(VALUE(SUBSTITUTE(SUBSTITUTE('Raw_Data (Before)'!F120,"₦",""),",","")),"")</f>
        <v>526110</v>
      </c>
      <c r="H120" s="7" t="str">
        <f aca="false">IF(G120="","No",IF(OR(G120&lt;=0,G120&gt;5000000),"No","Yes"))</f>
        <v>Yes</v>
      </c>
      <c r="I120" s="8" t="n">
        <f aca="false">IFERROR(DATEVALUE('Raw_Data (Before)'!G120),"")</f>
        <v>43435</v>
      </c>
      <c r="J120" s="7" t="str">
        <f aca="false">IF(I120="","No","Yes")</f>
        <v>Yes</v>
      </c>
      <c r="K120" s="7" t="str">
        <f aca="false">IF(OR(ISERROR(FIND("@",'Raw_Data (Before)'!H120)),ISNUMBER(FIND("@@",'Raw_Data (Before)'!H120)),ISNUMBER(FIND(" ",'Raw_Data (Before)'!H120)),ISERROR(FIND(".",'Raw_Data (Before)'!H120,FIND("@",'Raw_Data (Before)'!H120)))),"No","Yes")</f>
        <v>No</v>
      </c>
      <c r="L120" s="7" t="str">
        <f aca="false">IFERROR(INDEX(Lookup_Tables!$H$5:$H$9,MATCH(UPPER(TRIM('Raw_Data (Before)'!I120)),Lookup_Tables!$G$5:$G$9,0)),"UNMAPPED")</f>
        <v>Active</v>
      </c>
      <c r="M120" s="7" t="str">
        <f aca="false">IF(COUNTIF('Raw_Data (Before)'!$A$5:$A$424,A120)&gt;1,"YES","No")</f>
        <v>YES</v>
      </c>
      <c r="N120" s="7" t="str">
        <f aca="false">IF(OR(C120="UNMAPPED",D120="UNMAPPED",F120="No",H120="No",J120="No",K120="No",L120="UNMAPPED",M120="YES"),"NEEDS REVIEW","OK")</f>
        <v>NEEDS REVIEW</v>
      </c>
    </row>
    <row r="121" customFormat="false" ht="15" hidden="false" customHeight="false" outlineLevel="0" collapsed="false">
      <c r="A121" s="7" t="str">
        <f aca="false">'Raw_Data (Before)'!A121</f>
        <v>EMP0251</v>
      </c>
      <c r="B121" s="7" t="str">
        <f aca="false">PROPER(TRIM('Raw_Data (Before)'!B121))</f>
        <v>Blessing Ajayi</v>
      </c>
      <c r="C121" s="7" t="str">
        <f aca="false">IFERROR(INDEX(Lookup_Tables!$B$5:$B$24,MATCH(UPPER(TRIM('Raw_Data (Before)'!C121)),Lookup_Tables!$A$5:$A$24,0)),"UNMAPPED")</f>
        <v>Finance</v>
      </c>
      <c r="D121" s="7" t="str">
        <f aca="false">IFERROR(INDEX(Lookup_Tables!$E$5:$E$8,MATCH(UPPER(TRIM('Raw_Data (Before)'!D121)),Lookup_Tables!$D$5:$D$8,0)),"UNMAPPED")</f>
        <v>Male</v>
      </c>
      <c r="E121" s="7" t="n">
        <f aca="false">'Raw_Data (Before)'!E121</f>
        <v>32</v>
      </c>
      <c r="F121" s="7" t="str">
        <f aca="false">IF(E121="","No",IF(OR(E121&lt;16,E121&gt;75),"No","Yes"))</f>
        <v>Yes</v>
      </c>
      <c r="G121" s="7" t="n">
        <f aca="false">IFERROR(VALUE(SUBSTITUTE(SUBSTITUTE('Raw_Data (Before)'!F121,"₦",""),",","")),"")</f>
        <v>934218</v>
      </c>
      <c r="H121" s="7" t="str">
        <f aca="false">IF(G121="","No",IF(OR(G121&lt;=0,G121&gt;5000000),"No","Yes"))</f>
        <v>Yes</v>
      </c>
      <c r="I121" s="8" t="n">
        <f aca="false">IFERROR(DATEVALUE('Raw_Data (Before)'!G121),"")</f>
        <v>43618</v>
      </c>
      <c r="J121" s="7" t="str">
        <f aca="false">IF(I121="","No","Yes")</f>
        <v>Yes</v>
      </c>
      <c r="K121" s="7" t="str">
        <f aca="false">IF(OR(ISERROR(FIND("@",'Raw_Data (Before)'!H121)),ISNUMBER(FIND("@@",'Raw_Data (Before)'!H121)),ISNUMBER(FIND(" ",'Raw_Data (Before)'!H121)),ISERROR(FIND(".",'Raw_Data (Before)'!H121,FIND("@",'Raw_Data (Before)'!H121)))),"No","Yes")</f>
        <v>Yes</v>
      </c>
      <c r="L121" s="7" t="str">
        <f aca="false">IFERROR(INDEX(Lookup_Tables!$H$5:$H$9,MATCH(UPPER(TRIM('Raw_Data (Before)'!I121)),Lookup_Tables!$G$5:$G$9,0)),"UNMAPPED")</f>
        <v>Active</v>
      </c>
      <c r="M121" s="7" t="str">
        <f aca="false">IF(COUNTIF('Raw_Data (Before)'!$A$5:$A$424,A121)&gt;1,"YES","No")</f>
        <v>No</v>
      </c>
      <c r="N121" s="7" t="str">
        <f aca="false">IF(OR(C121="UNMAPPED",D121="UNMAPPED",F121="No",H121="No",J121="No",K121="No",L121="UNMAPPED",M121="YES"),"NEEDS REVIEW","OK")</f>
        <v>OK</v>
      </c>
    </row>
    <row r="122" customFormat="false" ht="15" hidden="false" customHeight="false" outlineLevel="0" collapsed="false">
      <c r="A122" s="7" t="str">
        <f aca="false">'Raw_Data (Before)'!A122</f>
        <v>EMP0160</v>
      </c>
      <c r="B122" s="7" t="str">
        <f aca="false">PROPER(TRIM('Raw_Data (Before)'!B122))</f>
        <v>Daniel Chukwu</v>
      </c>
      <c r="C122" s="7" t="str">
        <f aca="false">IFERROR(INDEX(Lookup_Tables!$B$5:$B$24,MATCH(UPPER(TRIM('Raw_Data (Before)'!C122)),Lookup_Tables!$A$5:$A$24,0)),"UNMAPPED")</f>
        <v>Sales</v>
      </c>
      <c r="D122" s="7" t="str">
        <f aca="false">IFERROR(INDEX(Lookup_Tables!$E$5:$E$8,MATCH(UPPER(TRIM('Raw_Data (Before)'!D122)),Lookup_Tables!$D$5:$D$8,0)),"UNMAPPED")</f>
        <v>Female</v>
      </c>
      <c r="E122" s="7" t="n">
        <f aca="false">'Raw_Data (Before)'!E122</f>
        <v>44</v>
      </c>
      <c r="F122" s="7" t="str">
        <f aca="false">IF(E122="","No",IF(OR(E122&lt;16,E122&gt;75),"No","Yes"))</f>
        <v>Yes</v>
      </c>
      <c r="G122" s="7" t="n">
        <f aca="false">IFERROR(VALUE(SUBSTITUTE(SUBSTITUTE('Raw_Data (Before)'!F122,"₦",""),",","")),"")</f>
        <v>605240</v>
      </c>
      <c r="H122" s="7" t="str">
        <f aca="false">IF(G122="","No",IF(OR(G122&lt;=0,G122&gt;5000000),"No","Yes"))</f>
        <v>Yes</v>
      </c>
      <c r="I122" s="8" t="str">
        <f aca="false">IFERROR(DATEVALUE('Raw_Data (Before)'!G122),"")</f>
        <v/>
      </c>
      <c r="J122" s="7" t="str">
        <f aca="false">IF(I122="","No","Yes")</f>
        <v>No</v>
      </c>
      <c r="K122" s="7" t="str">
        <f aca="false">IF(OR(ISERROR(FIND("@",'Raw_Data (Before)'!H122)),ISNUMBER(FIND("@@",'Raw_Data (Before)'!H122)),ISNUMBER(FIND(" ",'Raw_Data (Before)'!H122)),ISERROR(FIND(".",'Raw_Data (Before)'!H122,FIND("@",'Raw_Data (Before)'!H122)))),"No","Yes")</f>
        <v>Yes</v>
      </c>
      <c r="L122" s="7" t="str">
        <f aca="false">IFERROR(INDEX(Lookup_Tables!$H$5:$H$9,MATCH(UPPER(TRIM('Raw_Data (Before)'!I122)),Lookup_Tables!$G$5:$G$9,0)),"UNMAPPED")</f>
        <v>Inactive</v>
      </c>
      <c r="M122" s="7" t="str">
        <f aca="false">IF(COUNTIF('Raw_Data (Before)'!$A$5:$A$424,A122)&gt;1,"YES","No")</f>
        <v>No</v>
      </c>
      <c r="N122" s="7" t="str">
        <f aca="false">IF(OR(C122="UNMAPPED",D122="UNMAPPED",F122="No",H122="No",J122="No",K122="No",L122="UNMAPPED",M122="YES"),"NEEDS REVIEW","OK")</f>
        <v>NEEDS REVIEW</v>
      </c>
    </row>
    <row r="123" customFormat="false" ht="15" hidden="false" customHeight="false" outlineLevel="0" collapsed="false">
      <c r="A123" s="7" t="str">
        <f aca="false">'Raw_Data (Before)'!A123</f>
        <v>EMP0182</v>
      </c>
      <c r="B123" s="7" t="str">
        <f aca="false">PROPER(TRIM('Raw_Data (Before)'!B123))</f>
        <v>Ruth Umeh</v>
      </c>
      <c r="C123" s="7" t="str">
        <f aca="false">IFERROR(INDEX(Lookup_Tables!$B$5:$B$24,MATCH(UPPER(TRIM('Raw_Data (Before)'!C123)),Lookup_Tables!$A$5:$A$24,0)),"UNMAPPED")</f>
        <v>Marketing</v>
      </c>
      <c r="D123" s="7" t="str">
        <f aca="false">IFERROR(INDEX(Lookup_Tables!$E$5:$E$8,MATCH(UPPER(TRIM('Raw_Data (Before)'!D123)),Lookup_Tables!$D$5:$D$8,0)),"UNMAPPED")</f>
        <v>Female</v>
      </c>
      <c r="E123" s="7" t="n">
        <f aca="false">'Raw_Data (Before)'!E123</f>
        <v>46</v>
      </c>
      <c r="F123" s="7" t="str">
        <f aca="false">IF(E123="","No",IF(OR(E123&lt;16,E123&gt;75),"No","Yes"))</f>
        <v>Yes</v>
      </c>
      <c r="G123" s="7" t="n">
        <f aca="false">IFERROR(VALUE(SUBSTITUTE(SUBSTITUTE('Raw_Data (Before)'!F123,"₦",""),",","")),"")</f>
        <v>29634700</v>
      </c>
      <c r="H123" s="7" t="str">
        <f aca="false">IF(G123="","No",IF(OR(G123&lt;=0,G123&gt;5000000),"No","Yes"))</f>
        <v>No</v>
      </c>
      <c r="I123" s="8" t="n">
        <f aca="false">IFERROR(DATEVALUE('Raw_Data (Before)'!G123),"")</f>
        <v>45553</v>
      </c>
      <c r="J123" s="7" t="str">
        <f aca="false">IF(I123="","No","Yes")</f>
        <v>Yes</v>
      </c>
      <c r="K123" s="7" t="str">
        <f aca="false">IF(OR(ISERROR(FIND("@",'Raw_Data (Before)'!H123)),ISNUMBER(FIND("@@",'Raw_Data (Before)'!H123)),ISNUMBER(FIND(" ",'Raw_Data (Before)'!H123)),ISERROR(FIND(".",'Raw_Data (Before)'!H123,FIND("@",'Raw_Data (Before)'!H123)))),"No","Yes")</f>
        <v>Yes</v>
      </c>
      <c r="L123" s="7" t="str">
        <f aca="false">IFERROR(INDEX(Lookup_Tables!$H$5:$H$9,MATCH(UPPER(TRIM('Raw_Data (Before)'!I123)),Lookup_Tables!$G$5:$G$9,0)),"UNMAPPED")</f>
        <v>Active</v>
      </c>
      <c r="M123" s="7" t="str">
        <f aca="false">IF(COUNTIF('Raw_Data (Before)'!$A$5:$A$424,A123)&gt;1,"YES","No")</f>
        <v>No</v>
      </c>
      <c r="N123" s="7" t="str">
        <f aca="false">IF(OR(C123="UNMAPPED",D123="UNMAPPED",F123="No",H123="No",J123="No",K123="No",L123="UNMAPPED",M123="YES"),"NEEDS REVIEW","OK")</f>
        <v>NEEDS REVIEW</v>
      </c>
    </row>
    <row r="124" customFormat="false" ht="15" hidden="false" customHeight="false" outlineLevel="0" collapsed="false">
      <c r="A124" s="7" t="str">
        <f aca="false">'Raw_Data (Before)'!A124</f>
        <v>EMP0167</v>
      </c>
      <c r="B124" s="7" t="str">
        <f aca="false">PROPER(TRIM('Raw_Data (Before)'!B124))</f>
        <v>Grace Adeyemi</v>
      </c>
      <c r="C124" s="7" t="str">
        <f aca="false">IFERROR(INDEX(Lookup_Tables!$B$5:$B$24,MATCH(UPPER(TRIM('Raw_Data (Before)'!C124)),Lookup_Tables!$A$5:$A$24,0)),"UNMAPPED")</f>
        <v>Finance</v>
      </c>
      <c r="D124" s="7" t="str">
        <f aca="false">IFERROR(INDEX(Lookup_Tables!$E$5:$E$8,MATCH(UPPER(TRIM('Raw_Data (Before)'!D124)),Lookup_Tables!$D$5:$D$8,0)),"UNMAPPED")</f>
        <v>Male</v>
      </c>
      <c r="E124" s="7" t="n">
        <f aca="false">'Raw_Data (Before)'!E124</f>
        <v>0</v>
      </c>
      <c r="F124" s="7" t="str">
        <f aca="false">IF(E124="","No",IF(OR(E124&lt;16,E124&gt;75),"No","Yes"))</f>
        <v>No</v>
      </c>
      <c r="G124" s="7" t="n">
        <f aca="false">IFERROR(VALUE(SUBSTITUTE(SUBSTITUTE('Raw_Data (Before)'!F124,"₦",""),",","")),"")</f>
        <v>695511</v>
      </c>
      <c r="H124" s="7" t="str">
        <f aca="false">IF(G124="","No",IF(OR(G124&lt;=0,G124&gt;5000000),"No","Yes"))</f>
        <v>Yes</v>
      </c>
      <c r="I124" s="8" t="str">
        <f aca="false">IFERROR(DATEVALUE('Raw_Data (Before)'!G124),"")</f>
        <v/>
      </c>
      <c r="J124" s="7" t="str">
        <f aca="false">IF(I124="","No","Yes")</f>
        <v>No</v>
      </c>
      <c r="K124" s="7" t="str">
        <f aca="false">IF(OR(ISERROR(FIND("@",'Raw_Data (Before)'!H124)),ISNUMBER(FIND("@@",'Raw_Data (Before)'!H124)),ISNUMBER(FIND(" ",'Raw_Data (Before)'!H124)),ISERROR(FIND(".",'Raw_Data (Before)'!H124,FIND("@",'Raw_Data (Before)'!H124)))),"No","Yes")</f>
        <v>Yes</v>
      </c>
      <c r="L124" s="7" t="str">
        <f aca="false">IFERROR(INDEX(Lookup_Tables!$H$5:$H$9,MATCH(UPPER(TRIM('Raw_Data (Before)'!I124)),Lookup_Tables!$G$5:$G$9,0)),"UNMAPPED")</f>
        <v>Active</v>
      </c>
      <c r="M124" s="7" t="str">
        <f aca="false">IF(COUNTIF('Raw_Data (Before)'!$A$5:$A$424,A124)&gt;1,"YES","No")</f>
        <v>No</v>
      </c>
      <c r="N124" s="7" t="str">
        <f aca="false">IF(OR(C124="UNMAPPED",D124="UNMAPPED",F124="No",H124="No",J124="No",K124="No",L124="UNMAPPED",M124="YES"),"NEEDS REVIEW","OK")</f>
        <v>NEEDS REVIEW</v>
      </c>
    </row>
    <row r="125" customFormat="false" ht="15" hidden="false" customHeight="false" outlineLevel="0" collapsed="false">
      <c r="A125" s="7" t="str">
        <f aca="false">'Raw_Data (Before)'!A125</f>
        <v>EMP0271</v>
      </c>
      <c r="B125" s="7" t="str">
        <f aca="false">PROPER(TRIM('Raw_Data (Before)'!B125))</f>
        <v>Fatima Nwosu</v>
      </c>
      <c r="C125" s="7" t="str">
        <f aca="false">IFERROR(INDEX(Lookup_Tables!$B$5:$B$24,MATCH(UPPER(TRIM('Raw_Data (Before)'!C125)),Lookup_Tables!$A$5:$A$24,0)),"UNMAPPED")</f>
        <v>Operations</v>
      </c>
      <c r="D125" s="7" t="str">
        <f aca="false">IFERROR(INDEX(Lookup_Tables!$E$5:$E$8,MATCH(UPPER(TRIM('Raw_Data (Before)'!D125)),Lookup_Tables!$D$5:$D$8,0)),"UNMAPPED")</f>
        <v>Female</v>
      </c>
      <c r="E125" s="7" t="n">
        <f aca="false">'Raw_Data (Before)'!E125</f>
        <v>57</v>
      </c>
      <c r="F125" s="7" t="str">
        <f aca="false">IF(E125="","No",IF(OR(E125&lt;16,E125&gt;75),"No","Yes"))</f>
        <v>Yes</v>
      </c>
      <c r="G125" s="7" t="n">
        <f aca="false">IFERROR(VALUE(SUBSTITUTE(SUBSTITUTE('Raw_Data (Before)'!F125,"₦",""),",","")),"")</f>
        <v>844154</v>
      </c>
      <c r="H125" s="7" t="str">
        <f aca="false">IF(G125="","No",IF(OR(G125&lt;=0,G125&gt;5000000),"No","Yes"))</f>
        <v>Yes</v>
      </c>
      <c r="I125" s="8" t="n">
        <f aca="false">IFERROR(DATEVALUE('Raw_Data (Before)'!G125),"")</f>
        <v>45467</v>
      </c>
      <c r="J125" s="7" t="str">
        <f aca="false">IF(I125="","No","Yes")</f>
        <v>Yes</v>
      </c>
      <c r="K125" s="7" t="str">
        <f aca="false">IF(OR(ISERROR(FIND("@",'Raw_Data (Before)'!H125)),ISNUMBER(FIND("@@",'Raw_Data (Before)'!H125)),ISNUMBER(FIND(" ",'Raw_Data (Before)'!H125)),ISERROR(FIND(".",'Raw_Data (Before)'!H125,FIND("@",'Raw_Data (Before)'!H125)))),"No","Yes")</f>
        <v>Yes</v>
      </c>
      <c r="L125" s="7" t="str">
        <f aca="false">IFERROR(INDEX(Lookup_Tables!$H$5:$H$9,MATCH(UPPER(TRIM('Raw_Data (Before)'!I125)),Lookup_Tables!$G$5:$G$9,0)),"UNMAPPED")</f>
        <v>Active</v>
      </c>
      <c r="M125" s="7" t="str">
        <f aca="false">IF(COUNTIF('Raw_Data (Before)'!$A$5:$A$424,A125)&gt;1,"YES","No")</f>
        <v>No</v>
      </c>
      <c r="N125" s="7" t="str">
        <f aca="false">IF(OR(C125="UNMAPPED",D125="UNMAPPED",F125="No",H125="No",J125="No",K125="No",L125="UNMAPPED",M125="YES"),"NEEDS REVIEW","OK")</f>
        <v>OK</v>
      </c>
    </row>
    <row r="126" customFormat="false" ht="15" hidden="false" customHeight="false" outlineLevel="0" collapsed="false">
      <c r="A126" s="7" t="str">
        <f aca="false">'Raw_Data (Before)'!A126</f>
        <v>EMP0029</v>
      </c>
      <c r="B126" s="7" t="str">
        <f aca="false">PROPER(TRIM('Raw_Data (Before)'!B126))</f>
        <v>John Duru</v>
      </c>
      <c r="C126" s="7" t="str">
        <f aca="false">IFERROR(INDEX(Lookup_Tables!$B$5:$B$24,MATCH(UPPER(TRIM('Raw_Data (Before)'!C126)),Lookup_Tables!$A$5:$A$24,0)),"UNMAPPED")</f>
        <v>Marketing</v>
      </c>
      <c r="D126" s="7" t="str">
        <f aca="false">IFERROR(INDEX(Lookup_Tables!$E$5:$E$8,MATCH(UPPER(TRIM('Raw_Data (Before)'!D126)),Lookup_Tables!$D$5:$D$8,0)),"UNMAPPED")</f>
        <v>Male</v>
      </c>
      <c r="E126" s="7" t="n">
        <f aca="false">'Raw_Data (Before)'!E126</f>
        <v>48</v>
      </c>
      <c r="F126" s="7" t="str">
        <f aca="false">IF(E126="","No",IF(OR(E126&lt;16,E126&gt;75),"No","Yes"))</f>
        <v>Yes</v>
      </c>
      <c r="G126" s="7" t="n">
        <f aca="false">IFERROR(VALUE(SUBSTITUTE(SUBSTITUTE('Raw_Data (Before)'!F126,"₦",""),",","")),"")</f>
        <v>768400</v>
      </c>
      <c r="H126" s="7" t="str">
        <f aca="false">IF(G126="","No",IF(OR(G126&lt;=0,G126&gt;5000000),"No","Yes"))</f>
        <v>Yes</v>
      </c>
      <c r="I126" s="8" t="n">
        <f aca="false">IFERROR(DATEVALUE('Raw_Data (Before)'!G126),"")</f>
        <v>43536</v>
      </c>
      <c r="J126" s="7" t="str">
        <f aca="false">IF(I126="","No","Yes")</f>
        <v>Yes</v>
      </c>
      <c r="K126" s="7" t="str">
        <f aca="false">IF(OR(ISERROR(FIND("@",'Raw_Data (Before)'!H126)),ISNUMBER(FIND("@@",'Raw_Data (Before)'!H126)),ISNUMBER(FIND(" ",'Raw_Data (Before)'!H126)),ISERROR(FIND(".",'Raw_Data (Before)'!H126,FIND("@",'Raw_Data (Before)'!H126)))),"No","Yes")</f>
        <v>Yes</v>
      </c>
      <c r="L126" s="7" t="str">
        <f aca="false">IFERROR(INDEX(Lookup_Tables!$H$5:$H$9,MATCH(UPPER(TRIM('Raw_Data (Before)'!I126)),Lookup_Tables!$G$5:$G$9,0)),"UNMAPPED")</f>
        <v>Active</v>
      </c>
      <c r="M126" s="7" t="str">
        <f aca="false">IF(COUNTIF('Raw_Data (Before)'!$A$5:$A$424,A126)&gt;1,"YES","No")</f>
        <v>No</v>
      </c>
      <c r="N126" s="7" t="str">
        <f aca="false">IF(OR(C126="UNMAPPED",D126="UNMAPPED",F126="No",H126="No",J126="No",K126="No",L126="UNMAPPED",M126="YES"),"NEEDS REVIEW","OK")</f>
        <v>OK</v>
      </c>
    </row>
    <row r="127" customFormat="false" ht="15" hidden="false" customHeight="false" outlineLevel="0" collapsed="false">
      <c r="A127" s="7" t="str">
        <f aca="false">'Raw_Data (Before)'!A127</f>
        <v>EMP0275</v>
      </c>
      <c r="B127" s="7" t="str">
        <f aca="false">PROPER(TRIM('Raw_Data (Before)'!B127))</f>
        <v>Chidi Nnamdi</v>
      </c>
      <c r="C127" s="7" t="str">
        <f aca="false">IFERROR(INDEX(Lookup_Tables!$B$5:$B$24,MATCH(UPPER(TRIM('Raw_Data (Before)'!C127)),Lookup_Tables!$A$5:$A$24,0)),"UNMAPPED")</f>
        <v>IT</v>
      </c>
      <c r="D127" s="7" t="str">
        <f aca="false">IFERROR(INDEX(Lookup_Tables!$E$5:$E$8,MATCH(UPPER(TRIM('Raw_Data (Before)'!D127)),Lookup_Tables!$D$5:$D$8,0)),"UNMAPPED")</f>
        <v>Male</v>
      </c>
      <c r="E127" s="7" t="n">
        <f aca="false">'Raw_Data (Before)'!E127</f>
        <v>22</v>
      </c>
      <c r="F127" s="7" t="str">
        <f aca="false">IF(E127="","No",IF(OR(E127&lt;16,E127&gt;75),"No","Yes"))</f>
        <v>Yes</v>
      </c>
      <c r="G127" s="7" t="n">
        <f aca="false">IFERROR(VALUE(SUBSTITUTE(SUBSTITUTE('Raw_Data (Before)'!F127,"₦",""),",","")),"")</f>
        <v>313818</v>
      </c>
      <c r="H127" s="7" t="str">
        <f aca="false">IF(G127="","No",IF(OR(G127&lt;=0,G127&gt;5000000),"No","Yes"))</f>
        <v>Yes</v>
      </c>
      <c r="I127" s="8" t="n">
        <f aca="false">IFERROR(DATEVALUE('Raw_Data (Before)'!G127),"")</f>
        <v>44254</v>
      </c>
      <c r="J127" s="7" t="str">
        <f aca="false">IF(I127="","No","Yes")</f>
        <v>Yes</v>
      </c>
      <c r="K127" s="7" t="str">
        <f aca="false">IF(OR(ISERROR(FIND("@",'Raw_Data (Before)'!H127)),ISNUMBER(FIND("@@",'Raw_Data (Before)'!H127)),ISNUMBER(FIND(" ",'Raw_Data (Before)'!H127)),ISERROR(FIND(".",'Raw_Data (Before)'!H127,FIND("@",'Raw_Data (Before)'!H127)))),"No","Yes")</f>
        <v>No</v>
      </c>
      <c r="L127" s="7" t="str">
        <f aca="false">IFERROR(INDEX(Lookup_Tables!$H$5:$H$9,MATCH(UPPER(TRIM('Raw_Data (Before)'!I127)),Lookup_Tables!$G$5:$G$9,0)),"UNMAPPED")</f>
        <v>Active</v>
      </c>
      <c r="M127" s="7" t="str">
        <f aca="false">IF(COUNTIF('Raw_Data (Before)'!$A$5:$A$424,A127)&gt;1,"YES","No")</f>
        <v>No</v>
      </c>
      <c r="N127" s="7" t="str">
        <f aca="false">IF(OR(C127="UNMAPPED",D127="UNMAPPED",F127="No",H127="No",J127="No",K127="No",L127="UNMAPPED",M127="YES"),"NEEDS REVIEW","OK")</f>
        <v>NEEDS REVIEW</v>
      </c>
    </row>
    <row r="128" customFormat="false" ht="15" hidden="false" customHeight="false" outlineLevel="0" collapsed="false">
      <c r="A128" s="7" t="str">
        <f aca="false">'Raw_Data (Before)'!A128</f>
        <v>EMP0200</v>
      </c>
      <c r="B128" s="7" t="str">
        <f aca="false">PROPER(TRIM('Raw_Data (Before)'!B128))</f>
        <v>Victor Ajayi</v>
      </c>
      <c r="C128" s="7" t="str">
        <f aca="false">IFERROR(INDEX(Lookup_Tables!$B$5:$B$24,MATCH(UPPER(TRIM('Raw_Data (Before)'!C128)),Lookup_Tables!$A$5:$A$24,0)),"UNMAPPED")</f>
        <v>Customer Service</v>
      </c>
      <c r="D128" s="7" t="str">
        <f aca="false">IFERROR(INDEX(Lookup_Tables!$E$5:$E$8,MATCH(UPPER(TRIM('Raw_Data (Before)'!D128)),Lookup_Tables!$D$5:$D$8,0)),"UNMAPPED")</f>
        <v>Male</v>
      </c>
      <c r="E128" s="7" t="n">
        <f aca="false">'Raw_Data (Before)'!E128</f>
        <v>23</v>
      </c>
      <c r="F128" s="7" t="str">
        <f aca="false">IF(E128="","No",IF(OR(E128&lt;16,E128&gt;75),"No","Yes"))</f>
        <v>Yes</v>
      </c>
      <c r="G128" s="7" t="n">
        <f aca="false">IFERROR(VALUE(SUBSTITUTE(SUBSTITUTE('Raw_Data (Before)'!F128,"₦",""),",","")),"")</f>
        <v>301648</v>
      </c>
      <c r="H128" s="7" t="str">
        <f aca="false">IF(G128="","No",IF(OR(G128&lt;=0,G128&gt;5000000),"No","Yes"))</f>
        <v>Yes</v>
      </c>
      <c r="I128" s="8" t="str">
        <f aca="false">IFERROR(DATEVALUE('Raw_Data (Before)'!G128),"")</f>
        <v/>
      </c>
      <c r="J128" s="7" t="str">
        <f aca="false">IF(I128="","No","Yes")</f>
        <v>No</v>
      </c>
      <c r="K128" s="7" t="str">
        <f aca="false">IF(OR(ISERROR(FIND("@",'Raw_Data (Before)'!H128)),ISNUMBER(FIND("@@",'Raw_Data (Before)'!H128)),ISNUMBER(FIND(" ",'Raw_Data (Before)'!H128)),ISERROR(FIND(".",'Raw_Data (Before)'!H128,FIND("@",'Raw_Data (Before)'!H128)))),"No","Yes")</f>
        <v>Yes</v>
      </c>
      <c r="L128" s="7" t="str">
        <f aca="false">IFERROR(INDEX(Lookup_Tables!$H$5:$H$9,MATCH(UPPER(TRIM('Raw_Data (Before)'!I128)),Lookup_Tables!$G$5:$G$9,0)),"UNMAPPED")</f>
        <v>Active</v>
      </c>
      <c r="M128" s="7" t="str">
        <f aca="false">IF(COUNTIF('Raw_Data (Before)'!$A$5:$A$424,A128)&gt;1,"YES","No")</f>
        <v>No</v>
      </c>
      <c r="N128" s="7" t="str">
        <f aca="false">IF(OR(C128="UNMAPPED",D128="UNMAPPED",F128="No",H128="No",J128="No",K128="No",L128="UNMAPPED",M128="YES"),"NEEDS REVIEW","OK")</f>
        <v>NEEDS REVIEW</v>
      </c>
    </row>
    <row r="129" customFormat="false" ht="15" hidden="false" customHeight="false" outlineLevel="0" collapsed="false">
      <c r="A129" s="7" t="str">
        <f aca="false">'Raw_Data (Before)'!A129</f>
        <v>EMP0135</v>
      </c>
      <c r="B129" s="7" t="str">
        <f aca="false">PROPER(TRIM('Raw_Data (Before)'!B129))</f>
        <v>Daniel Nwosu</v>
      </c>
      <c r="C129" s="7" t="str">
        <f aca="false">IFERROR(INDEX(Lookup_Tables!$B$5:$B$24,MATCH(UPPER(TRIM('Raw_Data (Before)'!C129)),Lookup_Tables!$A$5:$A$24,0)),"UNMAPPED")</f>
        <v>Customer Service</v>
      </c>
      <c r="D129" s="7" t="str">
        <f aca="false">IFERROR(INDEX(Lookup_Tables!$E$5:$E$8,MATCH(UPPER(TRIM('Raw_Data (Before)'!D129)),Lookup_Tables!$D$5:$D$8,0)),"UNMAPPED")</f>
        <v>Male</v>
      </c>
      <c r="E129" s="7" t="n">
        <f aca="false">'Raw_Data (Before)'!E129</f>
        <v>45</v>
      </c>
      <c r="F129" s="7" t="str">
        <f aca="false">IF(E129="","No",IF(OR(E129&lt;16,E129&gt;75),"No","Yes"))</f>
        <v>Yes</v>
      </c>
      <c r="G129" s="7" t="n">
        <f aca="false">IFERROR(VALUE(SUBSTITUTE(SUBSTITUTE('Raw_Data (Before)'!F129,"₦",""),",","")),"")</f>
        <v>102791</v>
      </c>
      <c r="H129" s="7" t="str">
        <f aca="false">IF(G129="","No",IF(OR(G129&lt;=0,G129&gt;5000000),"No","Yes"))</f>
        <v>Yes</v>
      </c>
      <c r="I129" s="8" t="n">
        <f aca="false">IFERROR(DATEVALUE('Raw_Data (Before)'!G129),"")</f>
        <v>43673</v>
      </c>
      <c r="J129" s="7" t="str">
        <f aca="false">IF(I129="","No","Yes")</f>
        <v>Yes</v>
      </c>
      <c r="K129" s="7" t="str">
        <f aca="false">IF(OR(ISERROR(FIND("@",'Raw_Data (Before)'!H129)),ISNUMBER(FIND("@@",'Raw_Data (Before)'!H129)),ISNUMBER(FIND(" ",'Raw_Data (Before)'!H129)),ISERROR(FIND(".",'Raw_Data (Before)'!H129,FIND("@",'Raw_Data (Before)'!H129)))),"No","Yes")</f>
        <v>Yes</v>
      </c>
      <c r="L129" s="7" t="str">
        <f aca="false">IFERROR(INDEX(Lookup_Tables!$H$5:$H$9,MATCH(UPPER(TRIM('Raw_Data (Before)'!I129)),Lookup_Tables!$G$5:$G$9,0)),"UNMAPPED")</f>
        <v>Active</v>
      </c>
      <c r="M129" s="7" t="str">
        <f aca="false">IF(COUNTIF('Raw_Data (Before)'!$A$5:$A$424,A129)&gt;1,"YES","No")</f>
        <v>No</v>
      </c>
      <c r="N129" s="7" t="str">
        <f aca="false">IF(OR(C129="UNMAPPED",D129="UNMAPPED",F129="No",H129="No",J129="No",K129="No",L129="UNMAPPED",M129="YES"),"NEEDS REVIEW","OK")</f>
        <v>OK</v>
      </c>
    </row>
    <row r="130" customFormat="false" ht="15" hidden="false" customHeight="false" outlineLevel="0" collapsed="false">
      <c r="A130" s="7" t="str">
        <f aca="false">'Raw_Data (Before)'!A130</f>
        <v>EMP0278</v>
      </c>
      <c r="B130" s="7" t="str">
        <f aca="false">PROPER(TRIM('Raw_Data (Before)'!B130))</f>
        <v>Yusuf Nnamdi</v>
      </c>
      <c r="C130" s="7" t="str">
        <f aca="false">IFERROR(INDEX(Lookup_Tables!$B$5:$B$24,MATCH(UPPER(TRIM('Raw_Data (Before)'!C130)),Lookup_Tables!$A$5:$A$24,0)),"UNMAPPED")</f>
        <v>Sales</v>
      </c>
      <c r="D130" s="7" t="str">
        <f aca="false">IFERROR(INDEX(Lookup_Tables!$E$5:$E$8,MATCH(UPPER(TRIM('Raw_Data (Before)'!D130)),Lookup_Tables!$D$5:$D$8,0)),"UNMAPPED")</f>
        <v>Male</v>
      </c>
      <c r="E130" s="7" t="n">
        <f aca="false">'Raw_Data (Before)'!E130</f>
        <v>39</v>
      </c>
      <c r="F130" s="7" t="str">
        <f aca="false">IF(E130="","No",IF(OR(E130&lt;16,E130&gt;75),"No","Yes"))</f>
        <v>Yes</v>
      </c>
      <c r="G130" s="7" t="n">
        <f aca="false">IFERROR(VALUE(SUBSTITUTE(SUBSTITUTE('Raw_Data (Before)'!F130,"₦",""),",","")),"")</f>
        <v>863969</v>
      </c>
      <c r="H130" s="7" t="str">
        <f aca="false">IF(G130="","No",IF(OR(G130&lt;=0,G130&gt;5000000),"No","Yes"))</f>
        <v>Yes</v>
      </c>
      <c r="I130" s="8" t="n">
        <f aca="false">IFERROR(DATEVALUE('Raw_Data (Before)'!G130),"")</f>
        <v>45395</v>
      </c>
      <c r="J130" s="7" t="str">
        <f aca="false">IF(I130="","No","Yes")</f>
        <v>Yes</v>
      </c>
      <c r="K130" s="7" t="str">
        <f aca="false">IF(OR(ISERROR(FIND("@",'Raw_Data (Before)'!H130)),ISNUMBER(FIND("@@",'Raw_Data (Before)'!H130)),ISNUMBER(FIND(" ",'Raw_Data (Before)'!H130)),ISERROR(FIND(".",'Raw_Data (Before)'!H130,FIND("@",'Raw_Data (Before)'!H130)))),"No","Yes")</f>
        <v>No</v>
      </c>
      <c r="L130" s="7" t="str">
        <f aca="false">IFERROR(INDEX(Lookup_Tables!$H$5:$H$9,MATCH(UPPER(TRIM('Raw_Data (Before)'!I130)),Lookup_Tables!$G$5:$G$9,0)),"UNMAPPED")</f>
        <v>Active</v>
      </c>
      <c r="M130" s="7" t="str">
        <f aca="false">IF(COUNTIF('Raw_Data (Before)'!$A$5:$A$424,A130)&gt;1,"YES","No")</f>
        <v>YES</v>
      </c>
      <c r="N130" s="7" t="str">
        <f aca="false">IF(OR(C130="UNMAPPED",D130="UNMAPPED",F130="No",H130="No",J130="No",K130="No",L130="UNMAPPED",M130="YES"),"NEEDS REVIEW","OK")</f>
        <v>NEEDS REVIEW</v>
      </c>
    </row>
    <row r="131" customFormat="false" ht="15" hidden="false" customHeight="false" outlineLevel="0" collapsed="false">
      <c r="A131" s="7" t="str">
        <f aca="false">'Raw_Data (Before)'!A131</f>
        <v>EMP0132</v>
      </c>
      <c r="B131" s="7" t="str">
        <f aca="false">PROPER(TRIM('Raw_Data (Before)'!B131))</f>
        <v>David Okafor</v>
      </c>
      <c r="C131" s="7" t="str">
        <f aca="false">IFERROR(INDEX(Lookup_Tables!$B$5:$B$24,MATCH(UPPER(TRIM('Raw_Data (Before)'!C131)),Lookup_Tables!$A$5:$A$24,0)),"UNMAPPED")</f>
        <v>Marketing</v>
      </c>
      <c r="D131" s="7" t="str">
        <f aca="false">IFERROR(INDEX(Lookup_Tables!$E$5:$E$8,MATCH(UPPER(TRIM('Raw_Data (Before)'!D131)),Lookup_Tables!$D$5:$D$8,0)),"UNMAPPED")</f>
        <v>Female</v>
      </c>
      <c r="E131" s="7" t="n">
        <f aca="false">'Raw_Data (Before)'!E131</f>
        <v>35</v>
      </c>
      <c r="F131" s="7" t="str">
        <f aca="false">IF(E131="","No",IF(OR(E131&lt;16,E131&gt;75),"No","Yes"))</f>
        <v>Yes</v>
      </c>
      <c r="G131" s="7" t="n">
        <f aca="false">IFERROR(VALUE(SUBSTITUTE(SUBSTITUTE('Raw_Data (Before)'!F131,"₦",""),",","")),"")</f>
        <v>260485</v>
      </c>
      <c r="H131" s="7" t="str">
        <f aca="false">IF(G131="","No",IF(OR(G131&lt;=0,G131&gt;5000000),"No","Yes"))</f>
        <v>Yes</v>
      </c>
      <c r="I131" s="8" t="str">
        <f aca="false">IFERROR(DATEVALUE('Raw_Data (Before)'!G131),"")</f>
        <v/>
      </c>
      <c r="J131" s="7" t="str">
        <f aca="false">IF(I131="","No","Yes")</f>
        <v>No</v>
      </c>
      <c r="K131" s="7" t="str">
        <f aca="false">IF(OR(ISERROR(FIND("@",'Raw_Data (Before)'!H131)),ISNUMBER(FIND("@@",'Raw_Data (Before)'!H131)),ISNUMBER(FIND(" ",'Raw_Data (Before)'!H131)),ISERROR(FIND(".",'Raw_Data (Before)'!H131,FIND("@",'Raw_Data (Before)'!H131)))),"No","Yes")</f>
        <v>Yes</v>
      </c>
      <c r="L131" s="7" t="str">
        <f aca="false">IFERROR(INDEX(Lookup_Tables!$H$5:$H$9,MATCH(UPPER(TRIM('Raw_Data (Before)'!I131)),Lookup_Tables!$G$5:$G$9,0)),"UNMAPPED")</f>
        <v>Active</v>
      </c>
      <c r="M131" s="7" t="str">
        <f aca="false">IF(COUNTIF('Raw_Data (Before)'!$A$5:$A$424,A131)&gt;1,"YES","No")</f>
        <v>No</v>
      </c>
      <c r="N131" s="7" t="str">
        <f aca="false">IF(OR(C131="UNMAPPED",D131="UNMAPPED",F131="No",H131="No",J131="No",K131="No",L131="UNMAPPED",M131="YES"),"NEEDS REVIEW","OK")</f>
        <v>NEEDS REVIEW</v>
      </c>
    </row>
    <row r="132" customFormat="false" ht="15" hidden="false" customHeight="false" outlineLevel="0" collapsed="false">
      <c r="A132" s="7" t="str">
        <f aca="false">'Raw_Data (Before)'!A132</f>
        <v>EMP0028</v>
      </c>
      <c r="B132" s="7" t="str">
        <f aca="false">PROPER(TRIM('Raw_Data (Before)'!B132))</f>
        <v>Samuel Adeyemi</v>
      </c>
      <c r="C132" s="7" t="str">
        <f aca="false">IFERROR(INDEX(Lookup_Tables!$B$5:$B$24,MATCH(UPPER(TRIM('Raw_Data (Before)'!C132)),Lookup_Tables!$A$5:$A$24,0)),"UNMAPPED")</f>
        <v>Finance</v>
      </c>
      <c r="D132" s="7" t="str">
        <f aca="false">IFERROR(INDEX(Lookup_Tables!$E$5:$E$8,MATCH(UPPER(TRIM('Raw_Data (Before)'!D132)),Lookup_Tables!$D$5:$D$8,0)),"UNMAPPED")</f>
        <v>Female</v>
      </c>
      <c r="E132" s="7" t="n">
        <f aca="false">'Raw_Data (Before)'!E132</f>
        <v>32</v>
      </c>
      <c r="F132" s="7" t="str">
        <f aca="false">IF(E132="","No",IF(OR(E132&lt;16,E132&gt;75),"No","Yes"))</f>
        <v>Yes</v>
      </c>
      <c r="G132" s="7" t="n">
        <f aca="false">IFERROR(VALUE(SUBSTITUTE(SUBSTITUTE('Raw_Data (Before)'!F132,"₦",""),",","")),"")</f>
        <v>363663</v>
      </c>
      <c r="H132" s="7" t="str">
        <f aca="false">IF(G132="","No",IF(OR(G132&lt;=0,G132&gt;5000000),"No","Yes"))</f>
        <v>Yes</v>
      </c>
      <c r="I132" s="8" t="n">
        <f aca="false">IFERROR(DATEVALUE('Raw_Data (Before)'!G132),"")</f>
        <v>44288</v>
      </c>
      <c r="J132" s="7" t="str">
        <f aca="false">IF(I132="","No","Yes")</f>
        <v>Yes</v>
      </c>
      <c r="K132" s="7" t="str">
        <f aca="false">IF(OR(ISERROR(FIND("@",'Raw_Data (Before)'!H132)),ISNUMBER(FIND("@@",'Raw_Data (Before)'!H132)),ISNUMBER(FIND(" ",'Raw_Data (Before)'!H132)),ISERROR(FIND(".",'Raw_Data (Before)'!H132,FIND("@",'Raw_Data (Before)'!H132)))),"No","Yes")</f>
        <v>No</v>
      </c>
      <c r="L132" s="7" t="str">
        <f aca="false">IFERROR(INDEX(Lookup_Tables!$H$5:$H$9,MATCH(UPPER(TRIM('Raw_Data (Before)'!I132)),Lookup_Tables!$G$5:$G$9,0)),"UNMAPPED")</f>
        <v>Active</v>
      </c>
      <c r="M132" s="7" t="str">
        <f aca="false">IF(COUNTIF('Raw_Data (Before)'!$A$5:$A$424,A132)&gt;1,"YES","No")</f>
        <v>No</v>
      </c>
      <c r="N132" s="7" t="str">
        <f aca="false">IF(OR(C132="UNMAPPED",D132="UNMAPPED",F132="No",H132="No",J132="No",K132="No",L132="UNMAPPED",M132="YES"),"NEEDS REVIEW","OK")</f>
        <v>NEEDS REVIEW</v>
      </c>
    </row>
    <row r="133" customFormat="false" ht="15" hidden="false" customHeight="false" outlineLevel="0" collapsed="false">
      <c r="A133" s="7" t="str">
        <f aca="false">'Raw_Data (Before)'!A133</f>
        <v>EMP0361</v>
      </c>
      <c r="B133" s="7" t="str">
        <f aca="false">PROPER(TRIM('Raw_Data (Before)'!B133))</f>
        <v>John Uche</v>
      </c>
      <c r="C133" s="7" t="str">
        <f aca="false">IFERROR(INDEX(Lookup_Tables!$B$5:$B$24,MATCH(UPPER(TRIM('Raw_Data (Before)'!C133)),Lookup_Tables!$A$5:$A$24,0)),"UNMAPPED")</f>
        <v>Marketing</v>
      </c>
      <c r="D133" s="7" t="str">
        <f aca="false">IFERROR(INDEX(Lookup_Tables!$E$5:$E$8,MATCH(UPPER(TRIM('Raw_Data (Before)'!D133)),Lookup_Tables!$D$5:$D$8,0)),"UNMAPPED")</f>
        <v>Female</v>
      </c>
      <c r="E133" s="7" t="n">
        <f aca="false">'Raw_Data (Before)'!E133</f>
        <v>52</v>
      </c>
      <c r="F133" s="7" t="str">
        <f aca="false">IF(E133="","No",IF(OR(E133&lt;16,E133&gt;75),"No","Yes"))</f>
        <v>Yes</v>
      </c>
      <c r="G133" s="7" t="n">
        <f aca="false">IFERROR(VALUE(SUBSTITUTE(SUBSTITUTE('Raw_Data (Before)'!F133,"₦",""),",","")),"")</f>
        <v>368475</v>
      </c>
      <c r="H133" s="7" t="str">
        <f aca="false">IF(G133="","No",IF(OR(G133&lt;=0,G133&gt;5000000),"No","Yes"))</f>
        <v>Yes</v>
      </c>
      <c r="I133" s="8" t="n">
        <f aca="false">IFERROR(DATEVALUE('Raw_Data (Before)'!G133),"")</f>
        <v>43750</v>
      </c>
      <c r="J133" s="7" t="str">
        <f aca="false">IF(I133="","No","Yes")</f>
        <v>Yes</v>
      </c>
      <c r="K133" s="7" t="str">
        <f aca="false">IF(OR(ISERROR(FIND("@",'Raw_Data (Before)'!H133)),ISNUMBER(FIND("@@",'Raw_Data (Before)'!H133)),ISNUMBER(FIND(" ",'Raw_Data (Before)'!H133)),ISERROR(FIND(".",'Raw_Data (Before)'!H133,FIND("@",'Raw_Data (Before)'!H133)))),"No","Yes")</f>
        <v>Yes</v>
      </c>
      <c r="L133" s="7" t="str">
        <f aca="false">IFERROR(INDEX(Lookup_Tables!$H$5:$H$9,MATCH(UPPER(TRIM('Raw_Data (Before)'!I133)),Lookup_Tables!$G$5:$G$9,0)),"UNMAPPED")</f>
        <v>Active</v>
      </c>
      <c r="M133" s="7" t="str">
        <f aca="false">IF(COUNTIF('Raw_Data (Before)'!$A$5:$A$424,A133)&gt;1,"YES","No")</f>
        <v>No</v>
      </c>
      <c r="N133" s="7" t="str">
        <f aca="false">IF(OR(C133="UNMAPPED",D133="UNMAPPED",F133="No",H133="No",J133="No",K133="No",L133="UNMAPPED",M133="YES"),"NEEDS REVIEW","OK")</f>
        <v>OK</v>
      </c>
    </row>
    <row r="134" customFormat="false" ht="15" hidden="false" customHeight="false" outlineLevel="0" collapsed="false">
      <c r="A134" s="7" t="str">
        <f aca="false">'Raw_Data (Before)'!A134</f>
        <v>EMP0399</v>
      </c>
      <c r="B134" s="7" t="str">
        <f aca="false">PROPER(TRIM('Raw_Data (Before)'!B134))</f>
        <v>Patience Adamu</v>
      </c>
      <c r="C134" s="7" t="str">
        <f aca="false">IFERROR(INDEX(Lookup_Tables!$B$5:$B$24,MATCH(UPPER(TRIM('Raw_Data (Before)'!C134)),Lookup_Tables!$A$5:$A$24,0)),"UNMAPPED")</f>
        <v>HR</v>
      </c>
      <c r="D134" s="7" t="str">
        <f aca="false">IFERROR(INDEX(Lookup_Tables!$E$5:$E$8,MATCH(UPPER(TRIM('Raw_Data (Before)'!D134)),Lookup_Tables!$D$5:$D$8,0)),"UNMAPPED")</f>
        <v>Male</v>
      </c>
      <c r="E134" s="7" t="n">
        <f aca="false">'Raw_Data (Before)'!E134</f>
        <v>34</v>
      </c>
      <c r="F134" s="7" t="str">
        <f aca="false">IF(E134="","No",IF(OR(E134&lt;16,E134&gt;75),"No","Yes"))</f>
        <v>Yes</v>
      </c>
      <c r="G134" s="7" t="n">
        <f aca="false">IFERROR(VALUE(SUBSTITUTE(SUBSTITUTE('Raw_Data (Before)'!F134,"₦",""),",","")),"")</f>
        <v>806827</v>
      </c>
      <c r="H134" s="7" t="str">
        <f aca="false">IF(G134="","No",IF(OR(G134&lt;=0,G134&gt;5000000),"No","Yes"))</f>
        <v>Yes</v>
      </c>
      <c r="I134" s="8" t="n">
        <f aca="false">IFERROR(DATEVALUE('Raw_Data (Before)'!G134),"")</f>
        <v>43473</v>
      </c>
      <c r="J134" s="7" t="str">
        <f aca="false">IF(I134="","No","Yes")</f>
        <v>Yes</v>
      </c>
      <c r="K134" s="7" t="str">
        <f aca="false">IF(OR(ISERROR(FIND("@",'Raw_Data (Before)'!H134)),ISNUMBER(FIND("@@",'Raw_Data (Before)'!H134)),ISNUMBER(FIND(" ",'Raw_Data (Before)'!H134)),ISERROR(FIND(".",'Raw_Data (Before)'!H134,FIND("@",'Raw_Data (Before)'!H134)))),"No","Yes")</f>
        <v>Yes</v>
      </c>
      <c r="L134" s="7" t="str">
        <f aca="false">IFERROR(INDEX(Lookup_Tables!$H$5:$H$9,MATCH(UPPER(TRIM('Raw_Data (Before)'!I134)),Lookup_Tables!$G$5:$G$9,0)),"UNMAPPED")</f>
        <v>Active</v>
      </c>
      <c r="M134" s="7" t="str">
        <f aca="false">IF(COUNTIF('Raw_Data (Before)'!$A$5:$A$424,A134)&gt;1,"YES","No")</f>
        <v>No</v>
      </c>
      <c r="N134" s="7" t="str">
        <f aca="false">IF(OR(C134="UNMAPPED",D134="UNMAPPED",F134="No",H134="No",J134="No",K134="No",L134="UNMAPPED",M134="YES"),"NEEDS REVIEW","OK")</f>
        <v>OK</v>
      </c>
    </row>
    <row r="135" customFormat="false" ht="15" hidden="false" customHeight="false" outlineLevel="0" collapsed="false">
      <c r="A135" s="7" t="str">
        <f aca="false">'Raw_Data (Before)'!A135</f>
        <v>EMP0311</v>
      </c>
      <c r="B135" s="7" t="str">
        <f aca="false">PROPER(TRIM('Raw_Data (Before)'!B135))</f>
        <v>Ruth Duru</v>
      </c>
      <c r="C135" s="7" t="str">
        <f aca="false">IFERROR(INDEX(Lookup_Tables!$B$5:$B$24,MATCH(UPPER(TRIM('Raw_Data (Before)'!C135)),Lookup_Tables!$A$5:$A$24,0)),"UNMAPPED")</f>
        <v>Finance</v>
      </c>
      <c r="D135" s="7" t="str">
        <f aca="false">IFERROR(INDEX(Lookup_Tables!$E$5:$E$8,MATCH(UPPER(TRIM('Raw_Data (Before)'!D135)),Lookup_Tables!$D$5:$D$8,0)),"UNMAPPED")</f>
        <v>Female</v>
      </c>
      <c r="E135" s="7" t="n">
        <f aca="false">'Raw_Data (Before)'!E135</f>
        <v>28</v>
      </c>
      <c r="F135" s="7" t="str">
        <f aca="false">IF(E135="","No",IF(OR(E135&lt;16,E135&gt;75),"No","Yes"))</f>
        <v>Yes</v>
      </c>
      <c r="G135" s="7" t="n">
        <f aca="false">IFERROR(VALUE(SUBSTITUTE(SUBSTITUTE('Raw_Data (Before)'!F135,"₦",""),",","")),"")</f>
        <v>367195</v>
      </c>
      <c r="H135" s="7" t="str">
        <f aca="false">IF(G135="","No",IF(OR(G135&lt;=0,G135&gt;5000000),"No","Yes"))</f>
        <v>Yes</v>
      </c>
      <c r="I135" s="8" t="n">
        <f aca="false">IFERROR(DATEVALUE('Raw_Data (Before)'!G135),"")</f>
        <v>43664</v>
      </c>
      <c r="J135" s="7" t="str">
        <f aca="false">IF(I135="","No","Yes")</f>
        <v>Yes</v>
      </c>
      <c r="K135" s="7" t="str">
        <f aca="false">IF(OR(ISERROR(FIND("@",'Raw_Data (Before)'!H135)),ISNUMBER(FIND("@@",'Raw_Data (Before)'!H135)),ISNUMBER(FIND(" ",'Raw_Data (Before)'!H135)),ISERROR(FIND(".",'Raw_Data (Before)'!H135,FIND("@",'Raw_Data (Before)'!H135)))),"No","Yes")</f>
        <v>Yes</v>
      </c>
      <c r="L135" s="7" t="str">
        <f aca="false">IFERROR(INDEX(Lookup_Tables!$H$5:$H$9,MATCH(UPPER(TRIM('Raw_Data (Before)'!I135)),Lookup_Tables!$G$5:$G$9,0)),"UNMAPPED")</f>
        <v>Active</v>
      </c>
      <c r="M135" s="7" t="str">
        <f aca="false">IF(COUNTIF('Raw_Data (Before)'!$A$5:$A$424,A135)&gt;1,"YES","No")</f>
        <v>No</v>
      </c>
      <c r="N135" s="7" t="str">
        <f aca="false">IF(OR(C135="UNMAPPED",D135="UNMAPPED",F135="No",H135="No",J135="No",K135="No",L135="UNMAPPED",M135="YES"),"NEEDS REVIEW","OK")</f>
        <v>OK</v>
      </c>
    </row>
    <row r="136" customFormat="false" ht="15" hidden="false" customHeight="false" outlineLevel="0" collapsed="false">
      <c r="A136" s="7" t="str">
        <f aca="false">'Raw_Data (Before)'!A136</f>
        <v>EMP0390</v>
      </c>
      <c r="B136" s="7" t="str">
        <f aca="false">PROPER(TRIM('Raw_Data (Before)'!B136))</f>
        <v>Chiamaka Abubakar</v>
      </c>
      <c r="C136" s="7" t="str">
        <f aca="false">IFERROR(INDEX(Lookup_Tables!$B$5:$B$24,MATCH(UPPER(TRIM('Raw_Data (Before)'!C136)),Lookup_Tables!$A$5:$A$24,0)),"UNMAPPED")</f>
        <v>IT</v>
      </c>
      <c r="D136" s="7" t="str">
        <f aca="false">IFERROR(INDEX(Lookup_Tables!$E$5:$E$8,MATCH(UPPER(TRIM('Raw_Data (Before)'!D136)),Lookup_Tables!$D$5:$D$8,0)),"UNMAPPED")</f>
        <v>Female</v>
      </c>
      <c r="E136" s="7" t="n">
        <f aca="false">'Raw_Data (Before)'!E136</f>
        <v>34</v>
      </c>
      <c r="F136" s="7" t="str">
        <f aca="false">IF(E136="","No",IF(OR(E136&lt;16,E136&gt;75),"No","Yes"))</f>
        <v>Yes</v>
      </c>
      <c r="G136" s="7" t="n">
        <f aca="false">IFERROR(VALUE(SUBSTITUTE(SUBSTITUTE('Raw_Data (Before)'!F136,"₦",""),",","")),"")</f>
        <v>844702</v>
      </c>
      <c r="H136" s="7" t="str">
        <f aca="false">IF(G136="","No",IF(OR(G136&lt;=0,G136&gt;5000000),"No","Yes"))</f>
        <v>Yes</v>
      </c>
      <c r="I136" s="8" t="n">
        <f aca="false">IFERROR(DATEVALUE('Raw_Data (Before)'!G136),"")</f>
        <v>44152</v>
      </c>
      <c r="J136" s="7" t="str">
        <f aca="false">IF(I136="","No","Yes")</f>
        <v>Yes</v>
      </c>
      <c r="K136" s="7" t="str">
        <f aca="false">IF(OR(ISERROR(FIND("@",'Raw_Data (Before)'!H136)),ISNUMBER(FIND("@@",'Raw_Data (Before)'!H136)),ISNUMBER(FIND(" ",'Raw_Data (Before)'!H136)),ISERROR(FIND(".",'Raw_Data (Before)'!H136,FIND("@",'Raw_Data (Before)'!H136)))),"No","Yes")</f>
        <v>Yes</v>
      </c>
      <c r="L136" s="7" t="str">
        <f aca="false">IFERROR(INDEX(Lookup_Tables!$H$5:$H$9,MATCH(UPPER(TRIM('Raw_Data (Before)'!I136)),Lookup_Tables!$G$5:$G$9,0)),"UNMAPPED")</f>
        <v>Active</v>
      </c>
      <c r="M136" s="7" t="str">
        <f aca="false">IF(COUNTIF('Raw_Data (Before)'!$A$5:$A$424,A136)&gt;1,"YES","No")</f>
        <v>YES</v>
      </c>
      <c r="N136" s="7" t="str">
        <f aca="false">IF(OR(C136="UNMAPPED",D136="UNMAPPED",F136="No",H136="No",J136="No",K136="No",L136="UNMAPPED",M136="YES"),"NEEDS REVIEW","OK")</f>
        <v>NEEDS REVIEW</v>
      </c>
    </row>
    <row r="137" customFormat="false" ht="15" hidden="false" customHeight="false" outlineLevel="0" collapsed="false">
      <c r="A137" s="7" t="str">
        <f aca="false">'Raw_Data (Before)'!A137</f>
        <v>EMP0059</v>
      </c>
      <c r="B137" s="7" t="str">
        <f aca="false">PROPER(TRIM('Raw_Data (Before)'!B137))</f>
        <v>Chidi Chukwu</v>
      </c>
      <c r="C137" s="7" t="str">
        <f aca="false">IFERROR(INDEX(Lookup_Tables!$B$5:$B$24,MATCH(UPPER(TRIM('Raw_Data (Before)'!C137)),Lookup_Tables!$A$5:$A$24,0)),"UNMAPPED")</f>
        <v>Operations</v>
      </c>
      <c r="D137" s="7" t="str">
        <f aca="false">IFERROR(INDEX(Lookup_Tables!$E$5:$E$8,MATCH(UPPER(TRIM('Raw_Data (Before)'!D137)),Lookup_Tables!$D$5:$D$8,0)),"UNMAPPED")</f>
        <v>Male</v>
      </c>
      <c r="E137" s="7" t="n">
        <f aca="false">'Raw_Data (Before)'!E137</f>
        <v>-5</v>
      </c>
      <c r="F137" s="7" t="str">
        <f aca="false">IF(E137="","No",IF(OR(E137&lt;16,E137&gt;75),"No","Yes"))</f>
        <v>No</v>
      </c>
      <c r="G137" s="7" t="n">
        <f aca="false">IFERROR(VALUE(SUBSTITUTE(SUBSTITUTE('Raw_Data (Before)'!F137,"₦",""),",","")),"")</f>
        <v>105434</v>
      </c>
      <c r="H137" s="7" t="str">
        <f aca="false">IF(G137="","No",IF(OR(G137&lt;=0,G137&gt;5000000),"No","Yes"))</f>
        <v>Yes</v>
      </c>
      <c r="I137" s="8" t="n">
        <f aca="false">IFERROR(DATEVALUE('Raw_Data (Before)'!G137),"")</f>
        <v>44229</v>
      </c>
      <c r="J137" s="7" t="str">
        <f aca="false">IF(I137="","No","Yes")</f>
        <v>Yes</v>
      </c>
      <c r="K137" s="7" t="str">
        <f aca="false">IF(OR(ISERROR(FIND("@",'Raw_Data (Before)'!H137)),ISNUMBER(FIND("@@",'Raw_Data (Before)'!H137)),ISNUMBER(FIND(" ",'Raw_Data (Before)'!H137)),ISERROR(FIND(".",'Raw_Data (Before)'!H137,FIND("@",'Raw_Data (Before)'!H137)))),"No","Yes")</f>
        <v>Yes</v>
      </c>
      <c r="L137" s="7" t="str">
        <f aca="false">IFERROR(INDEX(Lookup_Tables!$H$5:$H$9,MATCH(UPPER(TRIM('Raw_Data (Before)'!I137)),Lookup_Tables!$G$5:$G$9,0)),"UNMAPPED")</f>
        <v>Active</v>
      </c>
      <c r="M137" s="7" t="str">
        <f aca="false">IF(COUNTIF('Raw_Data (Before)'!$A$5:$A$424,A137)&gt;1,"YES","No")</f>
        <v>YES</v>
      </c>
      <c r="N137" s="7" t="str">
        <f aca="false">IF(OR(C137="UNMAPPED",D137="UNMAPPED",F137="No",H137="No",J137="No",K137="No",L137="UNMAPPED",M137="YES"),"NEEDS REVIEW","OK")</f>
        <v>NEEDS REVIEW</v>
      </c>
    </row>
    <row r="138" customFormat="false" ht="15" hidden="false" customHeight="false" outlineLevel="0" collapsed="false">
      <c r="A138" s="7" t="str">
        <f aca="false">'Raw_Data (Before)'!A138</f>
        <v>EMP0270</v>
      </c>
      <c r="B138" s="7" t="str">
        <f aca="false">PROPER(TRIM('Raw_Data (Before)'!B138))</f>
        <v>Victor Abubakar</v>
      </c>
      <c r="C138" s="7" t="str">
        <f aca="false">IFERROR(INDEX(Lookup_Tables!$B$5:$B$24,MATCH(UPPER(TRIM('Raw_Data (Before)'!C138)),Lookup_Tables!$A$5:$A$24,0)),"UNMAPPED")</f>
        <v>Customer Service</v>
      </c>
      <c r="D138" s="7" t="str">
        <f aca="false">IFERROR(INDEX(Lookup_Tables!$E$5:$E$8,MATCH(UPPER(TRIM('Raw_Data (Before)'!D138)),Lookup_Tables!$D$5:$D$8,0)),"UNMAPPED")</f>
        <v>Female</v>
      </c>
      <c r="E138" s="7" t="n">
        <f aca="false">'Raw_Data (Before)'!E138</f>
        <v>30</v>
      </c>
      <c r="F138" s="7" t="str">
        <f aca="false">IF(E138="","No",IF(OR(E138&lt;16,E138&gt;75),"No","Yes"))</f>
        <v>Yes</v>
      </c>
      <c r="G138" s="7" t="n">
        <f aca="false">IFERROR(VALUE(SUBSTITUTE(SUBSTITUTE('Raw_Data (Before)'!F138,"₦",""),",","")),"")</f>
        <v>637624</v>
      </c>
      <c r="H138" s="7" t="str">
        <f aca="false">IF(G138="","No",IF(OR(G138&lt;=0,G138&gt;5000000),"No","Yes"))</f>
        <v>Yes</v>
      </c>
      <c r="I138" s="8" t="n">
        <f aca="false">IFERROR(DATEVALUE('Raw_Data (Before)'!G138),"")</f>
        <v>44267</v>
      </c>
      <c r="J138" s="7" t="str">
        <f aca="false">IF(I138="","No","Yes")</f>
        <v>Yes</v>
      </c>
      <c r="K138" s="7" t="str">
        <f aca="false">IF(OR(ISERROR(FIND("@",'Raw_Data (Before)'!H138)),ISNUMBER(FIND("@@",'Raw_Data (Before)'!H138)),ISNUMBER(FIND(" ",'Raw_Data (Before)'!H138)),ISERROR(FIND(".",'Raw_Data (Before)'!H138,FIND("@",'Raw_Data (Before)'!H138)))),"No","Yes")</f>
        <v>Yes</v>
      </c>
      <c r="L138" s="7" t="str">
        <f aca="false">IFERROR(INDEX(Lookup_Tables!$H$5:$H$9,MATCH(UPPER(TRIM('Raw_Data (Before)'!I138)),Lookup_Tables!$G$5:$G$9,0)),"UNMAPPED")</f>
        <v>Active</v>
      </c>
      <c r="M138" s="7" t="str">
        <f aca="false">IF(COUNTIF('Raw_Data (Before)'!$A$5:$A$424,A138)&gt;1,"YES","No")</f>
        <v>No</v>
      </c>
      <c r="N138" s="7" t="str">
        <f aca="false">IF(OR(C138="UNMAPPED",D138="UNMAPPED",F138="No",H138="No",J138="No",K138="No",L138="UNMAPPED",M138="YES"),"NEEDS REVIEW","OK")</f>
        <v>OK</v>
      </c>
    </row>
    <row r="139" customFormat="false" ht="15" hidden="false" customHeight="false" outlineLevel="0" collapsed="false">
      <c r="A139" s="7" t="str">
        <f aca="false">'Raw_Data (Before)'!A139</f>
        <v>EMP0063</v>
      </c>
      <c r="B139" s="7" t="str">
        <f aca="false">PROPER(TRIM('Raw_Data (Before)'!B139))</f>
        <v>Ahmed Eze</v>
      </c>
      <c r="C139" s="7" t="str">
        <f aca="false">IFERROR(INDEX(Lookup_Tables!$B$5:$B$24,MATCH(UPPER(TRIM('Raw_Data (Before)'!C139)),Lookup_Tables!$A$5:$A$24,0)),"UNMAPPED")</f>
        <v>Operations</v>
      </c>
      <c r="D139" s="7" t="str">
        <f aca="false">IFERROR(INDEX(Lookup_Tables!$E$5:$E$8,MATCH(UPPER(TRIM('Raw_Data (Before)'!D139)),Lookup_Tables!$D$5:$D$8,0)),"UNMAPPED")</f>
        <v>Female</v>
      </c>
      <c r="E139" s="7" t="n">
        <f aca="false">'Raw_Data (Before)'!E139</f>
        <v>36</v>
      </c>
      <c r="F139" s="7" t="str">
        <f aca="false">IF(E139="","No",IF(OR(E139&lt;16,E139&gt;75),"No","Yes"))</f>
        <v>Yes</v>
      </c>
      <c r="G139" s="7" t="n">
        <f aca="false">IFERROR(VALUE(SUBSTITUTE(SUBSTITUTE('Raw_Data (Before)'!F139,"₦",""),",","")),"")</f>
        <v>326943</v>
      </c>
      <c r="H139" s="7" t="str">
        <f aca="false">IF(G139="","No",IF(OR(G139&lt;=0,G139&gt;5000000),"No","Yes"))</f>
        <v>Yes</v>
      </c>
      <c r="I139" s="8" t="n">
        <f aca="false">IFERROR(DATEVALUE('Raw_Data (Before)'!G139),"")</f>
        <v>43916</v>
      </c>
      <c r="J139" s="7" t="str">
        <f aca="false">IF(I139="","No","Yes")</f>
        <v>Yes</v>
      </c>
      <c r="K139" s="7" t="str">
        <f aca="false">IF(OR(ISERROR(FIND("@",'Raw_Data (Before)'!H139)),ISNUMBER(FIND("@@",'Raw_Data (Before)'!H139)),ISNUMBER(FIND(" ",'Raw_Data (Before)'!H139)),ISERROR(FIND(".",'Raw_Data (Before)'!H139,FIND("@",'Raw_Data (Before)'!H139)))),"No","Yes")</f>
        <v>Yes</v>
      </c>
      <c r="L139" s="7" t="str">
        <f aca="false">IFERROR(INDEX(Lookup_Tables!$H$5:$H$9,MATCH(UPPER(TRIM('Raw_Data (Before)'!I139)),Lookup_Tables!$G$5:$G$9,0)),"UNMAPPED")</f>
        <v>Active</v>
      </c>
      <c r="M139" s="7" t="str">
        <f aca="false">IF(COUNTIF('Raw_Data (Before)'!$A$5:$A$424,A139)&gt;1,"YES","No")</f>
        <v>No</v>
      </c>
      <c r="N139" s="7" t="str">
        <f aca="false">IF(OR(C139="UNMAPPED",D139="UNMAPPED",F139="No",H139="No",J139="No",K139="No",L139="UNMAPPED",M139="YES"),"NEEDS REVIEW","OK")</f>
        <v>OK</v>
      </c>
    </row>
    <row r="140" customFormat="false" ht="15" hidden="false" customHeight="false" outlineLevel="0" collapsed="false">
      <c r="A140" s="7" t="str">
        <f aca="false">'Raw_Data (Before)'!A140</f>
        <v>EMP0368</v>
      </c>
      <c r="B140" s="7" t="str">
        <f aca="false">PROPER(TRIM('Raw_Data (Before)'!B140))</f>
        <v>Yusuf Abubakar</v>
      </c>
      <c r="C140" s="7" t="str">
        <f aca="false">IFERROR(INDEX(Lookup_Tables!$B$5:$B$24,MATCH(UPPER(TRIM('Raw_Data (Before)'!C140)),Lookup_Tables!$A$5:$A$24,0)),"UNMAPPED")</f>
        <v>IT</v>
      </c>
      <c r="D140" s="7" t="str">
        <f aca="false">IFERROR(INDEX(Lookup_Tables!$E$5:$E$8,MATCH(UPPER(TRIM('Raw_Data (Before)'!D140)),Lookup_Tables!$D$5:$D$8,0)),"UNMAPPED")</f>
        <v>Female</v>
      </c>
      <c r="E140" s="7" t="n">
        <f aca="false">'Raw_Data (Before)'!E140</f>
        <v>45</v>
      </c>
      <c r="F140" s="7" t="str">
        <f aca="false">IF(E140="","No",IF(OR(E140&lt;16,E140&gt;75),"No","Yes"))</f>
        <v>Yes</v>
      </c>
      <c r="G140" s="7" t="n">
        <f aca="false">IFERROR(VALUE(SUBSTITUTE(SUBSTITUTE('Raw_Data (Before)'!F140,"₦",""),",","")),"")</f>
        <v>323304</v>
      </c>
      <c r="H140" s="7" t="str">
        <f aca="false">IF(G140="","No",IF(OR(G140&lt;=0,G140&gt;5000000),"No","Yes"))</f>
        <v>Yes</v>
      </c>
      <c r="I140" s="8" t="n">
        <f aca="false">IFERROR(DATEVALUE('Raw_Data (Before)'!G140),"")</f>
        <v>44382</v>
      </c>
      <c r="J140" s="7" t="str">
        <f aca="false">IF(I140="","No","Yes")</f>
        <v>Yes</v>
      </c>
      <c r="K140" s="7" t="str">
        <f aca="false">IF(OR(ISERROR(FIND("@",'Raw_Data (Before)'!H140)),ISNUMBER(FIND("@@",'Raw_Data (Before)'!H140)),ISNUMBER(FIND(" ",'Raw_Data (Before)'!H140)),ISERROR(FIND(".",'Raw_Data (Before)'!H140,FIND("@",'Raw_Data (Before)'!H140)))),"No","Yes")</f>
        <v>Yes</v>
      </c>
      <c r="L140" s="7" t="str">
        <f aca="false">IFERROR(INDEX(Lookup_Tables!$H$5:$H$9,MATCH(UPPER(TRIM('Raw_Data (Before)'!I140)),Lookup_Tables!$G$5:$G$9,0)),"UNMAPPED")</f>
        <v>Active</v>
      </c>
      <c r="M140" s="7" t="str">
        <f aca="false">IF(COUNTIF('Raw_Data (Before)'!$A$5:$A$424,A140)&gt;1,"YES","No")</f>
        <v>No</v>
      </c>
      <c r="N140" s="7" t="str">
        <f aca="false">IF(OR(C140="UNMAPPED",D140="UNMAPPED",F140="No",H140="No",J140="No",K140="No",L140="UNMAPPED",M140="YES"),"NEEDS REVIEW","OK")</f>
        <v>OK</v>
      </c>
    </row>
    <row r="141" customFormat="false" ht="15" hidden="false" customHeight="false" outlineLevel="0" collapsed="false">
      <c r="A141" s="7" t="str">
        <f aca="false">'Raw_Data (Before)'!A141</f>
        <v>EMP0058</v>
      </c>
      <c r="B141" s="7" t="str">
        <f aca="false">PROPER(TRIM('Raw_Data (Before)'!B141))</f>
        <v>Musa Umeh</v>
      </c>
      <c r="C141" s="7" t="str">
        <f aca="false">IFERROR(INDEX(Lookup_Tables!$B$5:$B$24,MATCH(UPPER(TRIM('Raw_Data (Before)'!C141)),Lookup_Tables!$A$5:$A$24,0)),"UNMAPPED")</f>
        <v>Operations</v>
      </c>
      <c r="D141" s="7" t="str">
        <f aca="false">IFERROR(INDEX(Lookup_Tables!$E$5:$E$8,MATCH(UPPER(TRIM('Raw_Data (Before)'!D141)),Lookup_Tables!$D$5:$D$8,0)),"UNMAPPED")</f>
        <v>Male</v>
      </c>
      <c r="E141" s="7" t="n">
        <f aca="false">'Raw_Data (Before)'!E141</f>
        <v>0</v>
      </c>
      <c r="F141" s="7" t="str">
        <f aca="false">IF(E141="","No",IF(OR(E141&lt;16,E141&gt;75),"No","Yes"))</f>
        <v>No</v>
      </c>
      <c r="G141" s="7" t="n">
        <f aca="false">IFERROR(VALUE(SUBSTITUTE(SUBSTITUTE('Raw_Data (Before)'!F141,"₦",""),",","")),"")</f>
        <v>145619</v>
      </c>
      <c r="H141" s="7" t="str">
        <f aca="false">IF(G141="","No",IF(OR(G141&lt;=0,G141&gt;5000000),"No","Yes"))</f>
        <v>Yes</v>
      </c>
      <c r="I141" s="8" t="n">
        <f aca="false">IFERROR(DATEVALUE('Raw_Data (Before)'!G141),"")</f>
        <v>43267</v>
      </c>
      <c r="J141" s="7" t="str">
        <f aca="false">IF(I141="","No","Yes")</f>
        <v>Yes</v>
      </c>
      <c r="K141" s="7" t="str">
        <f aca="false">IF(OR(ISERROR(FIND("@",'Raw_Data (Before)'!H141)),ISNUMBER(FIND("@@",'Raw_Data (Before)'!H141)),ISNUMBER(FIND(" ",'Raw_Data (Before)'!H141)),ISERROR(FIND(".",'Raw_Data (Before)'!H141,FIND("@",'Raw_Data (Before)'!H141)))),"No","Yes")</f>
        <v>No</v>
      </c>
      <c r="L141" s="7" t="str">
        <f aca="false">IFERROR(INDEX(Lookup_Tables!$H$5:$H$9,MATCH(UPPER(TRIM('Raw_Data (Before)'!I141)),Lookup_Tables!$G$5:$G$9,0)),"UNMAPPED")</f>
        <v>Active</v>
      </c>
      <c r="M141" s="7" t="str">
        <f aca="false">IF(COUNTIF('Raw_Data (Before)'!$A$5:$A$424,A141)&gt;1,"YES","No")</f>
        <v>No</v>
      </c>
      <c r="N141" s="7" t="str">
        <f aca="false">IF(OR(C141="UNMAPPED",D141="UNMAPPED",F141="No",H141="No",J141="No",K141="No",L141="UNMAPPED",M141="YES"),"NEEDS REVIEW","OK")</f>
        <v>NEEDS REVIEW</v>
      </c>
    </row>
    <row r="142" customFormat="false" ht="15" hidden="false" customHeight="false" outlineLevel="0" collapsed="false">
      <c r="A142" s="7" t="str">
        <f aca="false">'Raw_Data (Before)'!A142</f>
        <v>EMP0119</v>
      </c>
      <c r="B142" s="7" t="str">
        <f aca="false">PROPER(TRIM('Raw_Data (Before)'!B142))</f>
        <v>Aisha Uche</v>
      </c>
      <c r="C142" s="7" t="str">
        <f aca="false">IFERROR(INDEX(Lookup_Tables!$B$5:$B$24,MATCH(UPPER(TRIM('Raw_Data (Before)'!C142)),Lookup_Tables!$A$5:$A$24,0)),"UNMAPPED")</f>
        <v>Marketing</v>
      </c>
      <c r="D142" s="7" t="str">
        <f aca="false">IFERROR(INDEX(Lookup_Tables!$E$5:$E$8,MATCH(UPPER(TRIM('Raw_Data (Before)'!D142)),Lookup_Tables!$D$5:$D$8,0)),"UNMAPPED")</f>
        <v>Female</v>
      </c>
      <c r="E142" s="7" t="n">
        <f aca="false">'Raw_Data (Before)'!E142</f>
        <v>30</v>
      </c>
      <c r="F142" s="7" t="str">
        <f aca="false">IF(E142="","No",IF(OR(E142&lt;16,E142&gt;75),"No","Yes"))</f>
        <v>Yes</v>
      </c>
      <c r="G142" s="7" t="n">
        <f aca="false">IFERROR(VALUE(SUBSTITUTE(SUBSTITUTE('Raw_Data (Before)'!F142,"₦",""),",","")),"")</f>
        <v>578543</v>
      </c>
      <c r="H142" s="7" t="str">
        <f aca="false">IF(G142="","No",IF(OR(G142&lt;=0,G142&gt;5000000),"No","Yes"))</f>
        <v>Yes</v>
      </c>
      <c r="I142" s="8" t="n">
        <f aca="false">IFERROR(DATEVALUE('Raw_Data (Before)'!G142),"")</f>
        <v>45533</v>
      </c>
      <c r="J142" s="7" t="str">
        <f aca="false">IF(I142="","No","Yes")</f>
        <v>Yes</v>
      </c>
      <c r="K142" s="7" t="str">
        <f aca="false">IF(OR(ISERROR(FIND("@",'Raw_Data (Before)'!H142)),ISNUMBER(FIND("@@",'Raw_Data (Before)'!H142)),ISNUMBER(FIND(" ",'Raw_Data (Before)'!H142)),ISERROR(FIND(".",'Raw_Data (Before)'!H142,FIND("@",'Raw_Data (Before)'!H142)))),"No","Yes")</f>
        <v>Yes</v>
      </c>
      <c r="L142" s="7" t="str">
        <f aca="false">IFERROR(INDEX(Lookup_Tables!$H$5:$H$9,MATCH(UPPER(TRIM('Raw_Data (Before)'!I142)),Lookup_Tables!$G$5:$G$9,0)),"UNMAPPED")</f>
        <v>Active</v>
      </c>
      <c r="M142" s="7" t="str">
        <f aca="false">IF(COUNTIF('Raw_Data (Before)'!$A$5:$A$424,A142)&gt;1,"YES","No")</f>
        <v>No</v>
      </c>
      <c r="N142" s="7" t="str">
        <f aca="false">IF(OR(C142="UNMAPPED",D142="UNMAPPED",F142="No",H142="No",J142="No",K142="No",L142="UNMAPPED",M142="YES"),"NEEDS REVIEW","OK")</f>
        <v>OK</v>
      </c>
    </row>
    <row r="143" customFormat="false" ht="15" hidden="false" customHeight="false" outlineLevel="0" collapsed="false">
      <c r="A143" s="7" t="str">
        <f aca="false">'Raw_Data (Before)'!A143</f>
        <v>EMP0077</v>
      </c>
      <c r="B143" s="7" t="str">
        <f aca="false">PROPER(TRIM('Raw_Data (Before)'!B143))</f>
        <v>Ngozi Ajayi</v>
      </c>
      <c r="C143" s="7" t="str">
        <f aca="false">IFERROR(INDEX(Lookup_Tables!$B$5:$B$24,MATCH(UPPER(TRIM('Raw_Data (Before)'!C143)),Lookup_Tables!$A$5:$A$24,0)),"UNMAPPED")</f>
        <v>Sales</v>
      </c>
      <c r="D143" s="7" t="str">
        <f aca="false">IFERROR(INDEX(Lookup_Tables!$E$5:$E$8,MATCH(UPPER(TRIM('Raw_Data (Before)'!D143)),Lookup_Tables!$D$5:$D$8,0)),"UNMAPPED")</f>
        <v>Female</v>
      </c>
      <c r="E143" s="7" t="n">
        <f aca="false">'Raw_Data (Before)'!E143</f>
        <v>51</v>
      </c>
      <c r="F143" s="7" t="str">
        <f aca="false">IF(E143="","No",IF(OR(E143&lt;16,E143&gt;75),"No","Yes"))</f>
        <v>Yes</v>
      </c>
      <c r="G143" s="7" t="n">
        <f aca="false">IFERROR(VALUE(SUBSTITUTE(SUBSTITUTE('Raw_Data (Before)'!F143,"₦",""),",","")),"")</f>
        <v>298442</v>
      </c>
      <c r="H143" s="7" t="str">
        <f aca="false">IF(G143="","No",IF(OR(G143&lt;=0,G143&gt;5000000),"No","Yes"))</f>
        <v>Yes</v>
      </c>
      <c r="I143" s="8" t="str">
        <f aca="false">IFERROR(DATEVALUE('Raw_Data (Before)'!G143),"")</f>
        <v/>
      </c>
      <c r="J143" s="7" t="str">
        <f aca="false">IF(I143="","No","Yes")</f>
        <v>No</v>
      </c>
      <c r="K143" s="7" t="str">
        <f aca="false">IF(OR(ISERROR(FIND("@",'Raw_Data (Before)'!H143)),ISNUMBER(FIND("@@",'Raw_Data (Before)'!H143)),ISNUMBER(FIND(" ",'Raw_Data (Before)'!H143)),ISERROR(FIND(".",'Raw_Data (Before)'!H143,FIND("@",'Raw_Data (Before)'!H143)))),"No","Yes")</f>
        <v>Yes</v>
      </c>
      <c r="L143" s="7" t="str">
        <f aca="false">IFERROR(INDEX(Lookup_Tables!$H$5:$H$9,MATCH(UPPER(TRIM('Raw_Data (Before)'!I143)),Lookup_Tables!$G$5:$G$9,0)),"UNMAPPED")</f>
        <v>Active</v>
      </c>
      <c r="M143" s="7" t="str">
        <f aca="false">IF(COUNTIF('Raw_Data (Before)'!$A$5:$A$424,A143)&gt;1,"YES","No")</f>
        <v>No</v>
      </c>
      <c r="N143" s="7" t="str">
        <f aca="false">IF(OR(C143="UNMAPPED",D143="UNMAPPED",F143="No",H143="No",J143="No",K143="No",L143="UNMAPPED",M143="YES"),"NEEDS REVIEW","OK")</f>
        <v>NEEDS REVIEW</v>
      </c>
    </row>
    <row r="144" customFormat="false" ht="15" hidden="false" customHeight="false" outlineLevel="0" collapsed="false">
      <c r="A144" s="7" t="str">
        <f aca="false">'Raw_Data (Before)'!A144</f>
        <v>EMP0243</v>
      </c>
      <c r="B144" s="7" t="str">
        <f aca="false">PROPER(TRIM('Raw_Data (Before)'!B144))</f>
        <v>Musa Okonkwo</v>
      </c>
      <c r="C144" s="7" t="str">
        <f aca="false">IFERROR(INDEX(Lookup_Tables!$B$5:$B$24,MATCH(UPPER(TRIM('Raw_Data (Before)'!C144)),Lookup_Tables!$A$5:$A$24,0)),"UNMAPPED")</f>
        <v>Finance</v>
      </c>
      <c r="D144" s="7" t="str">
        <f aca="false">IFERROR(INDEX(Lookup_Tables!$E$5:$E$8,MATCH(UPPER(TRIM('Raw_Data (Before)'!D144)),Lookup_Tables!$D$5:$D$8,0)),"UNMAPPED")</f>
        <v>Female</v>
      </c>
      <c r="E144" s="7" t="n">
        <f aca="false">'Raw_Data (Before)'!E144</f>
        <v>34</v>
      </c>
      <c r="F144" s="7" t="str">
        <f aca="false">IF(E144="","No",IF(OR(E144&lt;16,E144&gt;75),"No","Yes"))</f>
        <v>Yes</v>
      </c>
      <c r="G144" s="7" t="n">
        <f aca="false">IFERROR(VALUE(SUBSTITUTE(SUBSTITUTE('Raw_Data (Before)'!F144,"₦",""),",","")),"")</f>
        <v>767997</v>
      </c>
      <c r="H144" s="7" t="str">
        <f aca="false">IF(G144="","No",IF(OR(G144&lt;=0,G144&gt;5000000),"No","Yes"))</f>
        <v>Yes</v>
      </c>
      <c r="I144" s="8" t="n">
        <f aca="false">IFERROR(DATEVALUE('Raw_Data (Before)'!G144),"")</f>
        <v>43259</v>
      </c>
      <c r="J144" s="7" t="str">
        <f aca="false">IF(I144="","No","Yes")</f>
        <v>Yes</v>
      </c>
      <c r="K144" s="7" t="str">
        <f aca="false">IF(OR(ISERROR(FIND("@",'Raw_Data (Before)'!H144)),ISNUMBER(FIND("@@",'Raw_Data (Before)'!H144)),ISNUMBER(FIND(" ",'Raw_Data (Before)'!H144)),ISERROR(FIND(".",'Raw_Data (Before)'!H144,FIND("@",'Raw_Data (Before)'!H144)))),"No","Yes")</f>
        <v>Yes</v>
      </c>
      <c r="L144" s="7" t="str">
        <f aca="false">IFERROR(INDEX(Lookup_Tables!$H$5:$H$9,MATCH(UPPER(TRIM('Raw_Data (Before)'!I144)),Lookup_Tables!$G$5:$G$9,0)),"UNMAPPED")</f>
        <v>Active</v>
      </c>
      <c r="M144" s="7" t="str">
        <f aca="false">IF(COUNTIF('Raw_Data (Before)'!$A$5:$A$424,A144)&gt;1,"YES","No")</f>
        <v>No</v>
      </c>
      <c r="N144" s="7" t="str">
        <f aca="false">IF(OR(C144="UNMAPPED",D144="UNMAPPED",F144="No",H144="No",J144="No",K144="No",L144="UNMAPPED",M144="YES"),"NEEDS REVIEW","OK")</f>
        <v>OK</v>
      </c>
    </row>
    <row r="145" customFormat="false" ht="15" hidden="false" customHeight="false" outlineLevel="0" collapsed="false">
      <c r="A145" s="7" t="str">
        <f aca="false">'Raw_Data (Before)'!A145</f>
        <v>EMP0177</v>
      </c>
      <c r="B145" s="7" t="str">
        <f aca="false">PROPER(TRIM('Raw_Data (Before)'!B145))</f>
        <v>Esther Adeyemi</v>
      </c>
      <c r="C145" s="7" t="str">
        <f aca="false">IFERROR(INDEX(Lookup_Tables!$B$5:$B$24,MATCH(UPPER(TRIM('Raw_Data (Before)'!C145)),Lookup_Tables!$A$5:$A$24,0)),"UNMAPPED")</f>
        <v>IT</v>
      </c>
      <c r="D145" s="7" t="str">
        <f aca="false">IFERROR(INDEX(Lookup_Tables!$E$5:$E$8,MATCH(UPPER(TRIM('Raw_Data (Before)'!D145)),Lookup_Tables!$D$5:$D$8,0)),"UNMAPPED")</f>
        <v>Male</v>
      </c>
      <c r="E145" s="7" t="n">
        <f aca="false">'Raw_Data (Before)'!E145</f>
        <v>57</v>
      </c>
      <c r="F145" s="7" t="str">
        <f aca="false">IF(E145="","No",IF(OR(E145&lt;16,E145&gt;75),"No","Yes"))</f>
        <v>Yes</v>
      </c>
      <c r="G145" s="7" t="n">
        <f aca="false">IFERROR(VALUE(SUBSTITUTE(SUBSTITUTE('Raw_Data (Before)'!F145,"₦",""),",","")),"")</f>
        <v>445994</v>
      </c>
      <c r="H145" s="7" t="str">
        <f aca="false">IF(G145="","No",IF(OR(G145&lt;=0,G145&gt;5000000),"No","Yes"))</f>
        <v>Yes</v>
      </c>
      <c r="I145" s="8" t="n">
        <f aca="false">IFERROR(DATEVALUE('Raw_Data (Before)'!G145),"")</f>
        <v>45234</v>
      </c>
      <c r="J145" s="7" t="str">
        <f aca="false">IF(I145="","No","Yes")</f>
        <v>Yes</v>
      </c>
      <c r="K145" s="7" t="str">
        <f aca="false">IF(OR(ISERROR(FIND("@",'Raw_Data (Before)'!H145)),ISNUMBER(FIND("@@",'Raw_Data (Before)'!H145)),ISNUMBER(FIND(" ",'Raw_Data (Before)'!H145)),ISERROR(FIND(".",'Raw_Data (Before)'!H145,FIND("@",'Raw_Data (Before)'!H145)))),"No","Yes")</f>
        <v>Yes</v>
      </c>
      <c r="L145" s="7" t="str">
        <f aca="false">IFERROR(INDEX(Lookup_Tables!$H$5:$H$9,MATCH(UPPER(TRIM('Raw_Data (Before)'!I145)),Lookup_Tables!$G$5:$G$9,0)),"UNMAPPED")</f>
        <v>Active</v>
      </c>
      <c r="M145" s="7" t="str">
        <f aca="false">IF(COUNTIF('Raw_Data (Before)'!$A$5:$A$424,A145)&gt;1,"YES","No")</f>
        <v>No</v>
      </c>
      <c r="N145" s="7" t="str">
        <f aca="false">IF(OR(C145="UNMAPPED",D145="UNMAPPED",F145="No",H145="No",J145="No",K145="No",L145="UNMAPPED",M145="YES"),"NEEDS REVIEW","OK")</f>
        <v>OK</v>
      </c>
    </row>
    <row r="146" customFormat="false" ht="15" hidden="false" customHeight="false" outlineLevel="0" collapsed="false">
      <c r="A146" s="7" t="str">
        <f aca="false">'Raw_Data (Before)'!A146</f>
        <v>EMP0302</v>
      </c>
      <c r="B146" s="7" t="str">
        <f aca="false">PROPER(TRIM('Raw_Data (Before)'!B146))</f>
        <v>Grace Ajayi</v>
      </c>
      <c r="C146" s="7" t="str">
        <f aca="false">IFERROR(INDEX(Lookup_Tables!$B$5:$B$24,MATCH(UPPER(TRIM('Raw_Data (Before)'!C146)),Lookup_Tables!$A$5:$A$24,0)),"UNMAPPED")</f>
        <v>Marketing</v>
      </c>
      <c r="D146" s="7" t="str">
        <f aca="false">IFERROR(INDEX(Lookup_Tables!$E$5:$E$8,MATCH(UPPER(TRIM('Raw_Data (Before)'!D146)),Lookup_Tables!$D$5:$D$8,0)),"UNMAPPED")</f>
        <v>Male</v>
      </c>
      <c r="E146" s="7" t="n">
        <f aca="false">'Raw_Data (Before)'!E146</f>
        <v>21</v>
      </c>
      <c r="F146" s="7" t="str">
        <f aca="false">IF(E146="","No",IF(OR(E146&lt;16,E146&gt;75),"No","Yes"))</f>
        <v>Yes</v>
      </c>
      <c r="G146" s="7" t="n">
        <f aca="false">IFERROR(VALUE(SUBSTITUTE(SUBSTITUTE('Raw_Data (Before)'!F146,"₦",""),",","")),"")</f>
        <v>-133026</v>
      </c>
      <c r="H146" s="7" t="str">
        <f aca="false">IF(G146="","No",IF(OR(G146&lt;=0,G146&gt;5000000),"No","Yes"))</f>
        <v>No</v>
      </c>
      <c r="I146" s="8" t="n">
        <f aca="false">IFERROR(DATEVALUE('Raw_Data (Before)'!G146),"")</f>
        <v>45728</v>
      </c>
      <c r="J146" s="7" t="str">
        <f aca="false">IF(I146="","No","Yes")</f>
        <v>Yes</v>
      </c>
      <c r="K146" s="7" t="str">
        <f aca="false">IF(OR(ISERROR(FIND("@",'Raw_Data (Before)'!H146)),ISNUMBER(FIND("@@",'Raw_Data (Before)'!H146)),ISNUMBER(FIND(" ",'Raw_Data (Before)'!H146)),ISERROR(FIND(".",'Raw_Data (Before)'!H146,FIND("@",'Raw_Data (Before)'!H146)))),"No","Yes")</f>
        <v>Yes</v>
      </c>
      <c r="L146" s="7" t="str">
        <f aca="false">IFERROR(INDEX(Lookup_Tables!$H$5:$H$9,MATCH(UPPER(TRIM('Raw_Data (Before)'!I146)),Lookup_Tables!$G$5:$G$9,0)),"UNMAPPED")</f>
        <v>Inactive</v>
      </c>
      <c r="M146" s="7" t="str">
        <f aca="false">IF(COUNTIF('Raw_Data (Before)'!$A$5:$A$424,A146)&gt;1,"YES","No")</f>
        <v>No</v>
      </c>
      <c r="N146" s="7" t="str">
        <f aca="false">IF(OR(C146="UNMAPPED",D146="UNMAPPED",F146="No",H146="No",J146="No",K146="No",L146="UNMAPPED",M146="YES"),"NEEDS REVIEW","OK")</f>
        <v>NEEDS REVIEW</v>
      </c>
    </row>
    <row r="147" customFormat="false" ht="15" hidden="false" customHeight="false" outlineLevel="0" collapsed="false">
      <c r="A147" s="7" t="str">
        <f aca="false">'Raw_Data (Before)'!A147</f>
        <v>EMP0126</v>
      </c>
      <c r="B147" s="7" t="str">
        <f aca="false">PROPER(TRIM('Raw_Data (Before)'!B147))</f>
        <v>Gabriel Chukwu</v>
      </c>
      <c r="C147" s="7" t="str">
        <f aca="false">IFERROR(INDEX(Lookup_Tables!$B$5:$B$24,MATCH(UPPER(TRIM('Raw_Data (Before)'!C147)),Lookup_Tables!$A$5:$A$24,0)),"UNMAPPED")</f>
        <v>IT</v>
      </c>
      <c r="D147" s="7" t="str">
        <f aca="false">IFERROR(INDEX(Lookup_Tables!$E$5:$E$8,MATCH(UPPER(TRIM('Raw_Data (Before)'!D147)),Lookup_Tables!$D$5:$D$8,0)),"UNMAPPED")</f>
        <v>Female</v>
      </c>
      <c r="E147" s="7" t="n">
        <f aca="false">'Raw_Data (Before)'!E147</f>
        <v>0</v>
      </c>
      <c r="F147" s="7" t="str">
        <f aca="false">IF(E147="","No",IF(OR(E147&lt;16,E147&gt;75),"No","Yes"))</f>
        <v>No</v>
      </c>
      <c r="G147" s="7" t="n">
        <f aca="false">IFERROR(VALUE(SUBSTITUTE(SUBSTITUTE('Raw_Data (Before)'!F147,"₦",""),",","")),"")</f>
        <v>494707</v>
      </c>
      <c r="H147" s="7" t="str">
        <f aca="false">IF(G147="","No",IF(OR(G147&lt;=0,G147&gt;5000000),"No","Yes"))</f>
        <v>Yes</v>
      </c>
      <c r="I147" s="8" t="n">
        <f aca="false">IFERROR(DATEVALUE('Raw_Data (Before)'!G147),"")</f>
        <v>44368</v>
      </c>
      <c r="J147" s="7" t="str">
        <f aca="false">IF(I147="","No","Yes")</f>
        <v>Yes</v>
      </c>
      <c r="K147" s="7" t="str">
        <f aca="false">IF(OR(ISERROR(FIND("@",'Raw_Data (Before)'!H147)),ISNUMBER(FIND("@@",'Raw_Data (Before)'!H147)),ISNUMBER(FIND(" ",'Raw_Data (Before)'!H147)),ISERROR(FIND(".",'Raw_Data (Before)'!H147,FIND("@",'Raw_Data (Before)'!H147)))),"No","Yes")</f>
        <v>Yes</v>
      </c>
      <c r="L147" s="7" t="str">
        <f aca="false">IFERROR(INDEX(Lookup_Tables!$H$5:$H$9,MATCH(UPPER(TRIM('Raw_Data (Before)'!I147)),Lookup_Tables!$G$5:$G$9,0)),"UNMAPPED")</f>
        <v>Active</v>
      </c>
      <c r="M147" s="7" t="str">
        <f aca="false">IF(COUNTIF('Raw_Data (Before)'!$A$5:$A$424,A147)&gt;1,"YES","No")</f>
        <v>No</v>
      </c>
      <c r="N147" s="7" t="str">
        <f aca="false">IF(OR(C147="UNMAPPED",D147="UNMAPPED",F147="No",H147="No",J147="No",K147="No",L147="UNMAPPED",M147="YES"),"NEEDS REVIEW","OK")</f>
        <v>NEEDS REVIEW</v>
      </c>
    </row>
    <row r="148" customFormat="false" ht="15" hidden="false" customHeight="false" outlineLevel="0" collapsed="false">
      <c r="A148" s="7" t="str">
        <f aca="false">'Raw_Data (Before)'!A148</f>
        <v>EMP0330</v>
      </c>
      <c r="B148" s="7" t="str">
        <f aca="false">PROPER(TRIM('Raw_Data (Before)'!B148))</f>
        <v>Kemi Okafor</v>
      </c>
      <c r="C148" s="7" t="str">
        <f aca="false">IFERROR(INDEX(Lookup_Tables!$B$5:$B$24,MATCH(UPPER(TRIM('Raw_Data (Before)'!C148)),Lookup_Tables!$A$5:$A$24,0)),"UNMAPPED")</f>
        <v>Customer Service</v>
      </c>
      <c r="D148" s="7" t="str">
        <f aca="false">IFERROR(INDEX(Lookup_Tables!$E$5:$E$8,MATCH(UPPER(TRIM('Raw_Data (Before)'!D148)),Lookup_Tables!$D$5:$D$8,0)),"UNMAPPED")</f>
        <v>Female</v>
      </c>
      <c r="E148" s="7" t="n">
        <f aca="false">'Raw_Data (Before)'!E148</f>
        <v>24</v>
      </c>
      <c r="F148" s="7" t="str">
        <f aca="false">IF(E148="","No",IF(OR(E148&lt;16,E148&gt;75),"No","Yes"))</f>
        <v>Yes</v>
      </c>
      <c r="G148" s="7" t="n">
        <f aca="false">IFERROR(VALUE(SUBSTITUTE(SUBSTITUTE('Raw_Data (Before)'!F148,"₦",""),",","")),"")</f>
        <v>113436</v>
      </c>
      <c r="H148" s="7" t="str">
        <f aca="false">IF(G148="","No",IF(OR(G148&lt;=0,G148&gt;5000000),"No","Yes"))</f>
        <v>Yes</v>
      </c>
      <c r="I148" s="8" t="n">
        <f aca="false">IFERROR(DATEVALUE('Raw_Data (Before)'!G148),"")</f>
        <v>43486</v>
      </c>
      <c r="J148" s="7" t="str">
        <f aca="false">IF(I148="","No","Yes")</f>
        <v>Yes</v>
      </c>
      <c r="K148" s="7" t="str">
        <f aca="false">IF(OR(ISERROR(FIND("@",'Raw_Data (Before)'!H148)),ISNUMBER(FIND("@@",'Raw_Data (Before)'!H148)),ISNUMBER(FIND(" ",'Raw_Data (Before)'!H148)),ISERROR(FIND(".",'Raw_Data (Before)'!H148,FIND("@",'Raw_Data (Before)'!H148)))),"No","Yes")</f>
        <v>Yes</v>
      </c>
      <c r="L148" s="7" t="str">
        <f aca="false">IFERROR(INDEX(Lookup_Tables!$H$5:$H$9,MATCH(UPPER(TRIM('Raw_Data (Before)'!I148)),Lookup_Tables!$G$5:$G$9,0)),"UNMAPPED")</f>
        <v>Active</v>
      </c>
      <c r="M148" s="7" t="str">
        <f aca="false">IF(COUNTIF('Raw_Data (Before)'!$A$5:$A$424,A148)&gt;1,"YES","No")</f>
        <v>No</v>
      </c>
      <c r="N148" s="7" t="str">
        <f aca="false">IF(OR(C148="UNMAPPED",D148="UNMAPPED",F148="No",H148="No",J148="No",K148="No",L148="UNMAPPED",M148="YES"),"NEEDS REVIEW","OK")</f>
        <v>OK</v>
      </c>
    </row>
    <row r="149" customFormat="false" ht="15" hidden="false" customHeight="false" outlineLevel="0" collapsed="false">
      <c r="A149" s="7" t="str">
        <f aca="false">'Raw_Data (Before)'!A149</f>
        <v>EMP0023</v>
      </c>
      <c r="B149" s="7" t="str">
        <f aca="false">PROPER(TRIM('Raw_Data (Before)'!B149))</f>
        <v>Ruth Balogun</v>
      </c>
      <c r="C149" s="7" t="str">
        <f aca="false">IFERROR(INDEX(Lookup_Tables!$B$5:$B$24,MATCH(UPPER(TRIM('Raw_Data (Before)'!C149)),Lookup_Tables!$A$5:$A$24,0)),"UNMAPPED")</f>
        <v>Sales</v>
      </c>
      <c r="D149" s="7" t="str">
        <f aca="false">IFERROR(INDEX(Lookup_Tables!$E$5:$E$8,MATCH(UPPER(TRIM('Raw_Data (Before)'!D149)),Lookup_Tables!$D$5:$D$8,0)),"UNMAPPED")</f>
        <v>Female</v>
      </c>
      <c r="E149" s="7" t="n">
        <f aca="false">'Raw_Data (Before)'!E149</f>
        <v>37</v>
      </c>
      <c r="F149" s="7" t="str">
        <f aca="false">IF(E149="","No",IF(OR(E149&lt;16,E149&gt;75),"No","Yes"))</f>
        <v>Yes</v>
      </c>
      <c r="G149" s="7" t="n">
        <f aca="false">IFERROR(VALUE(SUBSTITUTE(SUBSTITUTE('Raw_Data (Before)'!F149,"₦",""),",","")),"")</f>
        <v>223921</v>
      </c>
      <c r="H149" s="7" t="str">
        <f aca="false">IF(G149="","No",IF(OR(G149&lt;=0,G149&gt;5000000),"No","Yes"))</f>
        <v>Yes</v>
      </c>
      <c r="I149" s="8" t="n">
        <f aca="false">IFERROR(DATEVALUE('Raw_Data (Before)'!G149),"")</f>
        <v>45736</v>
      </c>
      <c r="J149" s="7" t="str">
        <f aca="false">IF(I149="","No","Yes")</f>
        <v>Yes</v>
      </c>
      <c r="K149" s="7" t="str">
        <f aca="false">IF(OR(ISERROR(FIND("@",'Raw_Data (Before)'!H149)),ISNUMBER(FIND("@@",'Raw_Data (Before)'!H149)),ISNUMBER(FIND(" ",'Raw_Data (Before)'!H149)),ISERROR(FIND(".",'Raw_Data (Before)'!H149,FIND("@",'Raw_Data (Before)'!H149)))),"No","Yes")</f>
        <v>Yes</v>
      </c>
      <c r="L149" s="7" t="str">
        <f aca="false">IFERROR(INDEX(Lookup_Tables!$H$5:$H$9,MATCH(UPPER(TRIM('Raw_Data (Before)'!I149)),Lookup_Tables!$G$5:$G$9,0)),"UNMAPPED")</f>
        <v>Inactive</v>
      </c>
      <c r="M149" s="7" t="str">
        <f aca="false">IF(COUNTIF('Raw_Data (Before)'!$A$5:$A$424,A149)&gt;1,"YES","No")</f>
        <v>No</v>
      </c>
      <c r="N149" s="7" t="str">
        <f aca="false">IF(OR(C149="UNMAPPED",D149="UNMAPPED",F149="No",H149="No",J149="No",K149="No",L149="UNMAPPED",M149="YES"),"NEEDS REVIEW","OK")</f>
        <v>OK</v>
      </c>
    </row>
    <row r="150" customFormat="false" ht="15" hidden="false" customHeight="false" outlineLevel="0" collapsed="false">
      <c r="A150" s="7" t="str">
        <f aca="false">'Raw_Data (Before)'!A150</f>
        <v>EMP0290</v>
      </c>
      <c r="B150" s="7" t="str">
        <f aca="false">PROPER(TRIM('Raw_Data (Before)'!B150))</f>
        <v>Chinedu Ajayi</v>
      </c>
      <c r="C150" s="7" t="str">
        <f aca="false">IFERROR(INDEX(Lookup_Tables!$B$5:$B$24,MATCH(UPPER(TRIM('Raw_Data (Before)'!C150)),Lookup_Tables!$A$5:$A$24,0)),"UNMAPPED")</f>
        <v>Customer Service</v>
      </c>
      <c r="D150" s="7" t="str">
        <f aca="false">IFERROR(INDEX(Lookup_Tables!$E$5:$E$8,MATCH(UPPER(TRIM('Raw_Data (Before)'!D150)),Lookup_Tables!$D$5:$D$8,0)),"UNMAPPED")</f>
        <v>Male</v>
      </c>
      <c r="E150" s="7" t="n">
        <f aca="false">'Raw_Data (Before)'!E150</f>
        <v>57</v>
      </c>
      <c r="F150" s="7" t="str">
        <f aca="false">IF(E150="","No",IF(OR(E150&lt;16,E150&gt;75),"No","Yes"))</f>
        <v>Yes</v>
      </c>
      <c r="G150" s="7" t="n">
        <f aca="false">IFERROR(VALUE(SUBSTITUTE(SUBSTITUTE('Raw_Data (Before)'!F150,"₦",""),",","")),"")</f>
        <v>431119</v>
      </c>
      <c r="H150" s="7" t="str">
        <f aca="false">IF(G150="","No",IF(OR(G150&lt;=0,G150&gt;5000000),"No","Yes"))</f>
        <v>Yes</v>
      </c>
      <c r="I150" s="8" t="str">
        <f aca="false">IFERROR(DATEVALUE('Raw_Data (Before)'!G150),"")</f>
        <v/>
      </c>
      <c r="J150" s="7" t="str">
        <f aca="false">IF(I150="","No","Yes")</f>
        <v>No</v>
      </c>
      <c r="K150" s="7" t="str">
        <f aca="false">IF(OR(ISERROR(FIND("@",'Raw_Data (Before)'!H150)),ISNUMBER(FIND("@@",'Raw_Data (Before)'!H150)),ISNUMBER(FIND(" ",'Raw_Data (Before)'!H150)),ISERROR(FIND(".",'Raw_Data (Before)'!H150,FIND("@",'Raw_Data (Before)'!H150)))),"No","Yes")</f>
        <v>No</v>
      </c>
      <c r="L150" s="7" t="str">
        <f aca="false">IFERROR(INDEX(Lookup_Tables!$H$5:$H$9,MATCH(UPPER(TRIM('Raw_Data (Before)'!I150)),Lookup_Tables!$G$5:$G$9,0)),"UNMAPPED")</f>
        <v>Active</v>
      </c>
      <c r="M150" s="7" t="str">
        <f aca="false">IF(COUNTIF('Raw_Data (Before)'!$A$5:$A$424,A150)&gt;1,"YES","No")</f>
        <v>No</v>
      </c>
      <c r="N150" s="7" t="str">
        <f aca="false">IF(OR(C150="UNMAPPED",D150="UNMAPPED",F150="No",H150="No",J150="No",K150="No",L150="UNMAPPED",M150="YES"),"NEEDS REVIEW","OK")</f>
        <v>NEEDS REVIEW</v>
      </c>
    </row>
    <row r="151" customFormat="false" ht="15" hidden="false" customHeight="false" outlineLevel="0" collapsed="false">
      <c r="A151" s="7" t="str">
        <f aca="false">'Raw_Data (Before)'!A151</f>
        <v>EMP0239</v>
      </c>
      <c r="B151" s="7" t="str">
        <f aca="false">PROPER(TRIM('Raw_Data (Before)'!B151))</f>
        <v>Daniel Abubakar</v>
      </c>
      <c r="C151" s="7" t="str">
        <f aca="false">IFERROR(INDEX(Lookup_Tables!$B$5:$B$24,MATCH(UPPER(TRIM('Raw_Data (Before)'!C151)),Lookup_Tables!$A$5:$A$24,0)),"UNMAPPED")</f>
        <v>Marketing</v>
      </c>
      <c r="D151" s="7" t="str">
        <f aca="false">IFERROR(INDEX(Lookup_Tables!$E$5:$E$8,MATCH(UPPER(TRIM('Raw_Data (Before)'!D151)),Lookup_Tables!$D$5:$D$8,0)),"UNMAPPED")</f>
        <v>Male</v>
      </c>
      <c r="E151" s="7" t="n">
        <f aca="false">'Raw_Data (Before)'!E151</f>
        <v>0</v>
      </c>
      <c r="F151" s="7" t="str">
        <f aca="false">IF(E151="","No",IF(OR(E151&lt;16,E151&gt;75),"No","Yes"))</f>
        <v>No</v>
      </c>
      <c r="G151" s="7" t="n">
        <f aca="false">IFERROR(VALUE(SUBSTITUTE(SUBSTITUTE('Raw_Data (Before)'!F151,"₦",""),",","")),"")</f>
        <v>155422</v>
      </c>
      <c r="H151" s="7" t="str">
        <f aca="false">IF(G151="","No",IF(OR(G151&lt;=0,G151&gt;5000000),"No","Yes"))</f>
        <v>Yes</v>
      </c>
      <c r="I151" s="8" t="n">
        <f aca="false">IFERROR(DATEVALUE('Raw_Data (Before)'!G151),"")</f>
        <v>45719</v>
      </c>
      <c r="J151" s="7" t="str">
        <f aca="false">IF(I151="","No","Yes")</f>
        <v>Yes</v>
      </c>
      <c r="K151" s="7" t="str">
        <f aca="false">IF(OR(ISERROR(FIND("@",'Raw_Data (Before)'!H151)),ISNUMBER(FIND("@@",'Raw_Data (Before)'!H151)),ISNUMBER(FIND(" ",'Raw_Data (Before)'!H151)),ISERROR(FIND(".",'Raw_Data (Before)'!H151,FIND("@",'Raw_Data (Before)'!H151)))),"No","Yes")</f>
        <v>Yes</v>
      </c>
      <c r="L151" s="7" t="str">
        <f aca="false">IFERROR(INDEX(Lookup_Tables!$H$5:$H$9,MATCH(UPPER(TRIM('Raw_Data (Before)'!I151)),Lookup_Tables!$G$5:$G$9,0)),"UNMAPPED")</f>
        <v>Active</v>
      </c>
      <c r="M151" s="7" t="str">
        <f aca="false">IF(COUNTIF('Raw_Data (Before)'!$A$5:$A$424,A151)&gt;1,"YES","No")</f>
        <v>No</v>
      </c>
      <c r="N151" s="7" t="str">
        <f aca="false">IF(OR(C151="UNMAPPED",D151="UNMAPPED",F151="No",H151="No",J151="No",K151="No",L151="UNMAPPED",M151="YES"),"NEEDS REVIEW","OK")</f>
        <v>NEEDS REVIEW</v>
      </c>
    </row>
    <row r="152" customFormat="false" ht="15" hidden="false" customHeight="false" outlineLevel="0" collapsed="false">
      <c r="A152" s="7" t="str">
        <f aca="false">'Raw_Data (Before)'!A152</f>
        <v>EMP0289</v>
      </c>
      <c r="B152" s="7" t="str">
        <f aca="false">PROPER(TRIM('Raw_Data (Before)'!B152))</f>
        <v>Ifeoma Nnamdi</v>
      </c>
      <c r="C152" s="7" t="str">
        <f aca="false">IFERROR(INDEX(Lookup_Tables!$B$5:$B$24,MATCH(UPPER(TRIM('Raw_Data (Before)'!C152)),Lookup_Tables!$A$5:$A$24,0)),"UNMAPPED")</f>
        <v>Customer Service</v>
      </c>
      <c r="D152" s="7" t="str">
        <f aca="false">IFERROR(INDEX(Lookup_Tables!$E$5:$E$8,MATCH(UPPER(TRIM('Raw_Data (Before)'!D152)),Lookup_Tables!$D$5:$D$8,0)),"UNMAPPED")</f>
        <v>Male</v>
      </c>
      <c r="E152" s="7" t="n">
        <f aca="false">'Raw_Data (Before)'!E152</f>
        <v>60</v>
      </c>
      <c r="F152" s="7" t="str">
        <f aca="false">IF(E152="","No",IF(OR(E152&lt;16,E152&gt;75),"No","Yes"))</f>
        <v>Yes</v>
      </c>
      <c r="G152" s="7" t="n">
        <f aca="false">IFERROR(VALUE(SUBSTITUTE(SUBSTITUTE('Raw_Data (Before)'!F152,"₦",""),",","")),"")</f>
        <v>170547</v>
      </c>
      <c r="H152" s="7" t="str">
        <f aca="false">IF(G152="","No",IF(OR(G152&lt;=0,G152&gt;5000000),"No","Yes"))</f>
        <v>Yes</v>
      </c>
      <c r="I152" s="8" t="n">
        <f aca="false">IFERROR(DATEVALUE('Raw_Data (Before)'!G152),"")</f>
        <v>45852</v>
      </c>
      <c r="J152" s="7" t="str">
        <f aca="false">IF(I152="","No","Yes")</f>
        <v>Yes</v>
      </c>
      <c r="K152" s="7" t="str">
        <f aca="false">IF(OR(ISERROR(FIND("@",'Raw_Data (Before)'!H152)),ISNUMBER(FIND("@@",'Raw_Data (Before)'!H152)),ISNUMBER(FIND(" ",'Raw_Data (Before)'!H152)),ISERROR(FIND(".",'Raw_Data (Before)'!H152,FIND("@",'Raw_Data (Before)'!H152)))),"No","Yes")</f>
        <v>Yes</v>
      </c>
      <c r="L152" s="7" t="str">
        <f aca="false">IFERROR(INDEX(Lookup_Tables!$H$5:$H$9,MATCH(UPPER(TRIM('Raw_Data (Before)'!I152)),Lookup_Tables!$G$5:$G$9,0)),"UNMAPPED")</f>
        <v>Active</v>
      </c>
      <c r="M152" s="7" t="str">
        <f aca="false">IF(COUNTIF('Raw_Data (Before)'!$A$5:$A$424,A152)&gt;1,"YES","No")</f>
        <v>YES</v>
      </c>
      <c r="N152" s="7" t="str">
        <f aca="false">IF(OR(C152="UNMAPPED",D152="UNMAPPED",F152="No",H152="No",J152="No",K152="No",L152="UNMAPPED",M152="YES"),"NEEDS REVIEW","OK")</f>
        <v>NEEDS REVIEW</v>
      </c>
    </row>
    <row r="153" customFormat="false" ht="15" hidden="false" customHeight="false" outlineLevel="0" collapsed="false">
      <c r="A153" s="7" t="str">
        <f aca="false">'Raw_Data (Before)'!A153</f>
        <v>EMP0053</v>
      </c>
      <c r="B153" s="7" t="str">
        <f aca="false">PROPER(TRIM('Raw_Data (Before)'!B153))</f>
        <v>David Yakubu</v>
      </c>
      <c r="C153" s="7" t="str">
        <f aca="false">IFERROR(INDEX(Lookup_Tables!$B$5:$B$24,MATCH(UPPER(TRIM('Raw_Data (Before)'!C153)),Lookup_Tables!$A$5:$A$24,0)),"UNMAPPED")</f>
        <v>Sales</v>
      </c>
      <c r="D153" s="7" t="str">
        <f aca="false">IFERROR(INDEX(Lookup_Tables!$E$5:$E$8,MATCH(UPPER(TRIM('Raw_Data (Before)'!D153)),Lookup_Tables!$D$5:$D$8,0)),"UNMAPPED")</f>
        <v>Female</v>
      </c>
      <c r="E153" s="7" t="n">
        <f aca="false">'Raw_Data (Before)'!E153</f>
        <v>53</v>
      </c>
      <c r="F153" s="7" t="str">
        <f aca="false">IF(E153="","No",IF(OR(E153&lt;16,E153&gt;75),"No","Yes"))</f>
        <v>Yes</v>
      </c>
      <c r="G153" s="7" t="n">
        <f aca="false">IFERROR(VALUE(SUBSTITUTE(SUBSTITUTE('Raw_Data (Before)'!F153,"₦",""),",","")),"")</f>
        <v>150708</v>
      </c>
      <c r="H153" s="7" t="str">
        <f aca="false">IF(G153="","No",IF(OR(G153&lt;=0,G153&gt;5000000),"No","Yes"))</f>
        <v>Yes</v>
      </c>
      <c r="I153" s="8" t="n">
        <f aca="false">IFERROR(DATEVALUE('Raw_Data (Before)'!G153),"")</f>
        <v>43128</v>
      </c>
      <c r="J153" s="7" t="str">
        <f aca="false">IF(I153="","No","Yes")</f>
        <v>Yes</v>
      </c>
      <c r="K153" s="7" t="str">
        <f aca="false">IF(OR(ISERROR(FIND("@",'Raw_Data (Before)'!H153)),ISNUMBER(FIND("@@",'Raw_Data (Before)'!H153)),ISNUMBER(FIND(" ",'Raw_Data (Before)'!H153)),ISERROR(FIND(".",'Raw_Data (Before)'!H153,FIND("@",'Raw_Data (Before)'!H153)))),"No","Yes")</f>
        <v>Yes</v>
      </c>
      <c r="L153" s="7" t="str">
        <f aca="false">IFERROR(INDEX(Lookup_Tables!$H$5:$H$9,MATCH(UPPER(TRIM('Raw_Data (Before)'!I153)),Lookup_Tables!$G$5:$G$9,0)),"UNMAPPED")</f>
        <v>Active</v>
      </c>
      <c r="M153" s="7" t="str">
        <f aca="false">IF(COUNTIF('Raw_Data (Before)'!$A$5:$A$424,A153)&gt;1,"YES","No")</f>
        <v>No</v>
      </c>
      <c r="N153" s="7" t="str">
        <f aca="false">IF(OR(C153="UNMAPPED",D153="UNMAPPED",F153="No",H153="No",J153="No",K153="No",L153="UNMAPPED",M153="YES"),"NEEDS REVIEW","OK")</f>
        <v>OK</v>
      </c>
    </row>
    <row r="154" customFormat="false" ht="15" hidden="false" customHeight="false" outlineLevel="0" collapsed="false">
      <c r="A154" s="7" t="str">
        <f aca="false">'Raw_Data (Before)'!A154</f>
        <v>EMP0064</v>
      </c>
      <c r="B154" s="7" t="str">
        <f aca="false">PROPER(TRIM('Raw_Data (Before)'!B154))</f>
        <v>Musa Umeh</v>
      </c>
      <c r="C154" s="7" t="str">
        <f aca="false">IFERROR(INDEX(Lookup_Tables!$B$5:$B$24,MATCH(UPPER(TRIM('Raw_Data (Before)'!C154)),Lookup_Tables!$A$5:$A$24,0)),"UNMAPPED")</f>
        <v>Sales</v>
      </c>
      <c r="D154" s="7" t="str">
        <f aca="false">IFERROR(INDEX(Lookup_Tables!$E$5:$E$8,MATCH(UPPER(TRIM('Raw_Data (Before)'!D154)),Lookup_Tables!$D$5:$D$8,0)),"UNMAPPED")</f>
        <v>Female</v>
      </c>
      <c r="E154" s="7" t="n">
        <f aca="false">'Raw_Data (Before)'!E154</f>
        <v>23</v>
      </c>
      <c r="F154" s="7" t="str">
        <f aca="false">IF(E154="","No",IF(OR(E154&lt;16,E154&gt;75),"No","Yes"))</f>
        <v>Yes</v>
      </c>
      <c r="G154" s="7" t="n">
        <f aca="false">IFERROR(VALUE(SUBSTITUTE(SUBSTITUTE('Raw_Data (Before)'!F154,"₦",""),",","")),"")</f>
        <v>187303</v>
      </c>
      <c r="H154" s="7" t="str">
        <f aca="false">IF(G154="","No",IF(OR(G154&lt;=0,G154&gt;5000000),"No","Yes"))</f>
        <v>Yes</v>
      </c>
      <c r="I154" s="8" t="str">
        <f aca="false">IFERROR(DATEVALUE('Raw_Data (Before)'!G154),"")</f>
        <v/>
      </c>
      <c r="J154" s="7" t="str">
        <f aca="false">IF(I154="","No","Yes")</f>
        <v>No</v>
      </c>
      <c r="K154" s="7" t="str">
        <f aca="false">IF(OR(ISERROR(FIND("@",'Raw_Data (Before)'!H154)),ISNUMBER(FIND("@@",'Raw_Data (Before)'!H154)),ISNUMBER(FIND(" ",'Raw_Data (Before)'!H154)),ISERROR(FIND(".",'Raw_Data (Before)'!H154,FIND("@",'Raw_Data (Before)'!H154)))),"No","Yes")</f>
        <v>Yes</v>
      </c>
      <c r="L154" s="7" t="str">
        <f aca="false">IFERROR(INDEX(Lookup_Tables!$H$5:$H$9,MATCH(UPPER(TRIM('Raw_Data (Before)'!I154)),Lookup_Tables!$G$5:$G$9,0)),"UNMAPPED")</f>
        <v>Active</v>
      </c>
      <c r="M154" s="7" t="str">
        <f aca="false">IF(COUNTIF('Raw_Data (Before)'!$A$5:$A$424,A154)&gt;1,"YES","No")</f>
        <v>No</v>
      </c>
      <c r="N154" s="7" t="str">
        <f aca="false">IF(OR(C154="UNMAPPED",D154="UNMAPPED",F154="No",H154="No",J154="No",K154="No",L154="UNMAPPED",M154="YES"),"NEEDS REVIEW","OK")</f>
        <v>NEEDS REVIEW</v>
      </c>
    </row>
    <row r="155" customFormat="false" ht="15" hidden="false" customHeight="false" outlineLevel="0" collapsed="false">
      <c r="A155" s="7" t="str">
        <f aca="false">'Raw_Data (Before)'!A155</f>
        <v>EMP0051</v>
      </c>
      <c r="B155" s="7" t="str">
        <f aca="false">PROPER(TRIM('Raw_Data (Before)'!B155))</f>
        <v>Amaka Okafor</v>
      </c>
      <c r="C155" s="7" t="str">
        <f aca="false">IFERROR(INDEX(Lookup_Tables!$B$5:$B$24,MATCH(UPPER(TRIM('Raw_Data (Before)'!C155)),Lookup_Tables!$A$5:$A$24,0)),"UNMAPPED")</f>
        <v>Operations</v>
      </c>
      <c r="D155" s="7" t="str">
        <f aca="false">IFERROR(INDEX(Lookup_Tables!$E$5:$E$8,MATCH(UPPER(TRIM('Raw_Data (Before)'!D155)),Lookup_Tables!$D$5:$D$8,0)),"UNMAPPED")</f>
        <v>Male</v>
      </c>
      <c r="E155" s="7" t="n">
        <f aca="false">'Raw_Data (Before)'!E155</f>
        <v>50</v>
      </c>
      <c r="F155" s="7" t="str">
        <f aca="false">IF(E155="","No",IF(OR(E155&lt;16,E155&gt;75),"No","Yes"))</f>
        <v>Yes</v>
      </c>
      <c r="G155" s="7" t="n">
        <f aca="false">IFERROR(VALUE(SUBSTITUTE(SUBSTITUTE('Raw_Data (Before)'!F155,"₦",""),",","")),"")</f>
        <v>372137</v>
      </c>
      <c r="H155" s="7" t="str">
        <f aca="false">IF(G155="","No",IF(OR(G155&lt;=0,G155&gt;5000000),"No","Yes"))</f>
        <v>Yes</v>
      </c>
      <c r="I155" s="8" t="n">
        <f aca="false">IFERROR(DATEVALUE('Raw_Data (Before)'!G155),"")</f>
        <v>43143</v>
      </c>
      <c r="J155" s="7" t="str">
        <f aca="false">IF(I155="","No","Yes")</f>
        <v>Yes</v>
      </c>
      <c r="K155" s="7" t="str">
        <f aca="false">IF(OR(ISERROR(FIND("@",'Raw_Data (Before)'!H155)),ISNUMBER(FIND("@@",'Raw_Data (Before)'!H155)),ISNUMBER(FIND(" ",'Raw_Data (Before)'!H155)),ISERROR(FIND(".",'Raw_Data (Before)'!H155,FIND("@",'Raw_Data (Before)'!H155)))),"No","Yes")</f>
        <v>Yes</v>
      </c>
      <c r="L155" s="7" t="str">
        <f aca="false">IFERROR(INDEX(Lookup_Tables!$H$5:$H$9,MATCH(UPPER(TRIM('Raw_Data (Before)'!I155)),Lookup_Tables!$G$5:$G$9,0)),"UNMAPPED")</f>
        <v>Active</v>
      </c>
      <c r="M155" s="7" t="str">
        <f aca="false">IF(COUNTIF('Raw_Data (Before)'!$A$5:$A$424,A155)&gt;1,"YES","No")</f>
        <v>No</v>
      </c>
      <c r="N155" s="7" t="str">
        <f aca="false">IF(OR(C155="UNMAPPED",D155="UNMAPPED",F155="No",H155="No",J155="No",K155="No",L155="UNMAPPED",M155="YES"),"NEEDS REVIEW","OK")</f>
        <v>OK</v>
      </c>
    </row>
    <row r="156" customFormat="false" ht="15" hidden="false" customHeight="false" outlineLevel="0" collapsed="false">
      <c r="A156" s="7" t="str">
        <f aca="false">'Raw_Data (Before)'!A156</f>
        <v>EMP0013</v>
      </c>
      <c r="B156" s="7" t="str">
        <f aca="false">PROPER(TRIM('Raw_Data (Before)'!B156))</f>
        <v>Patience Obi</v>
      </c>
      <c r="C156" s="7" t="str">
        <f aca="false">IFERROR(INDEX(Lookup_Tables!$B$5:$B$24,MATCH(UPPER(TRIM('Raw_Data (Before)'!C156)),Lookup_Tables!$A$5:$A$24,0)),"UNMAPPED")</f>
        <v>IT</v>
      </c>
      <c r="D156" s="7" t="str">
        <f aca="false">IFERROR(INDEX(Lookup_Tables!$E$5:$E$8,MATCH(UPPER(TRIM('Raw_Data (Before)'!D156)),Lookup_Tables!$D$5:$D$8,0)),"UNMAPPED")</f>
        <v>Male</v>
      </c>
      <c r="E156" s="7" t="n">
        <f aca="false">'Raw_Data (Before)'!E156</f>
        <v>26</v>
      </c>
      <c r="F156" s="7" t="str">
        <f aca="false">IF(E156="","No",IF(OR(E156&lt;16,E156&gt;75),"No","Yes"))</f>
        <v>Yes</v>
      </c>
      <c r="G156" s="7" t="n">
        <f aca="false">IFERROR(VALUE(SUBSTITUTE(SUBSTITUTE('Raw_Data (Before)'!F156,"₦",""),",","")),"")</f>
        <v>810015</v>
      </c>
      <c r="H156" s="7" t="str">
        <f aca="false">IF(G156="","No",IF(OR(G156&lt;=0,G156&gt;5000000),"No","Yes"))</f>
        <v>Yes</v>
      </c>
      <c r="I156" s="8" t="n">
        <f aca="false">IFERROR(DATEVALUE('Raw_Data (Before)'!G156),"")</f>
        <v>45264</v>
      </c>
      <c r="J156" s="7" t="str">
        <f aca="false">IF(I156="","No","Yes")</f>
        <v>Yes</v>
      </c>
      <c r="K156" s="7" t="str">
        <f aca="false">IF(OR(ISERROR(FIND("@",'Raw_Data (Before)'!H156)),ISNUMBER(FIND("@@",'Raw_Data (Before)'!H156)),ISNUMBER(FIND(" ",'Raw_Data (Before)'!H156)),ISERROR(FIND(".",'Raw_Data (Before)'!H156,FIND("@",'Raw_Data (Before)'!H156)))),"No","Yes")</f>
        <v>Yes</v>
      </c>
      <c r="L156" s="7" t="str">
        <f aca="false">IFERROR(INDEX(Lookup_Tables!$H$5:$H$9,MATCH(UPPER(TRIM('Raw_Data (Before)'!I156)),Lookup_Tables!$G$5:$G$9,0)),"UNMAPPED")</f>
        <v>Active</v>
      </c>
      <c r="M156" s="7" t="str">
        <f aca="false">IF(COUNTIF('Raw_Data (Before)'!$A$5:$A$424,A156)&gt;1,"YES","No")</f>
        <v>No</v>
      </c>
      <c r="N156" s="7" t="str">
        <f aca="false">IF(OR(C156="UNMAPPED",D156="UNMAPPED",F156="No",H156="No",J156="No",K156="No",L156="UNMAPPED",M156="YES"),"NEEDS REVIEW","OK")</f>
        <v>OK</v>
      </c>
    </row>
    <row r="157" customFormat="false" ht="15" hidden="false" customHeight="false" outlineLevel="0" collapsed="false">
      <c r="A157" s="7" t="str">
        <f aca="false">'Raw_Data (Before)'!A157</f>
        <v>EMP0168</v>
      </c>
      <c r="B157" s="7" t="str">
        <f aca="false">PROPER(TRIM('Raw_Data (Before)'!B157))</f>
        <v>Kemi Balogun</v>
      </c>
      <c r="C157" s="7" t="str">
        <f aca="false">IFERROR(INDEX(Lookup_Tables!$B$5:$B$24,MATCH(UPPER(TRIM('Raw_Data (Before)'!C157)),Lookup_Tables!$A$5:$A$24,0)),"UNMAPPED")</f>
        <v>IT</v>
      </c>
      <c r="D157" s="7" t="str">
        <f aca="false">IFERROR(INDEX(Lookup_Tables!$E$5:$E$8,MATCH(UPPER(TRIM('Raw_Data (Before)'!D157)),Lookup_Tables!$D$5:$D$8,0)),"UNMAPPED")</f>
        <v>Female</v>
      </c>
      <c r="E157" s="7" t="n">
        <f aca="false">'Raw_Data (Before)'!E157</f>
        <v>47</v>
      </c>
      <c r="F157" s="7" t="str">
        <f aca="false">IF(E157="","No",IF(OR(E157&lt;16,E157&gt;75),"No","Yes"))</f>
        <v>Yes</v>
      </c>
      <c r="G157" s="7" t="n">
        <f aca="false">IFERROR(VALUE(SUBSTITUTE(SUBSTITUTE('Raw_Data (Before)'!F157,"₦",""),",","")),"")</f>
        <v>404175</v>
      </c>
      <c r="H157" s="7" t="str">
        <f aca="false">IF(G157="","No",IF(OR(G157&lt;=0,G157&gt;5000000),"No","Yes"))</f>
        <v>Yes</v>
      </c>
      <c r="I157" s="8" t="n">
        <f aca="false">IFERROR(DATEVALUE('Raw_Data (Before)'!G157),"")</f>
        <v>45865</v>
      </c>
      <c r="J157" s="7" t="str">
        <f aca="false">IF(I157="","No","Yes")</f>
        <v>Yes</v>
      </c>
      <c r="K157" s="7" t="str">
        <f aca="false">IF(OR(ISERROR(FIND("@",'Raw_Data (Before)'!H157)),ISNUMBER(FIND("@@",'Raw_Data (Before)'!H157)),ISNUMBER(FIND(" ",'Raw_Data (Before)'!H157)),ISERROR(FIND(".",'Raw_Data (Before)'!H157,FIND("@",'Raw_Data (Before)'!H157)))),"No","Yes")</f>
        <v>Yes</v>
      </c>
      <c r="L157" s="7" t="str">
        <f aca="false">IFERROR(INDEX(Lookup_Tables!$H$5:$H$9,MATCH(UPPER(TRIM('Raw_Data (Before)'!I157)),Lookup_Tables!$G$5:$G$9,0)),"UNMAPPED")</f>
        <v>Active</v>
      </c>
      <c r="M157" s="7" t="str">
        <f aca="false">IF(COUNTIF('Raw_Data (Before)'!$A$5:$A$424,A157)&gt;1,"YES","No")</f>
        <v>No</v>
      </c>
      <c r="N157" s="7" t="str">
        <f aca="false">IF(OR(C157="UNMAPPED",D157="UNMAPPED",F157="No",H157="No",J157="No",K157="No",L157="UNMAPPED",M157="YES"),"NEEDS REVIEW","OK")</f>
        <v>OK</v>
      </c>
    </row>
    <row r="158" customFormat="false" ht="15" hidden="false" customHeight="false" outlineLevel="0" collapsed="false">
      <c r="A158" s="7" t="str">
        <f aca="false">'Raw_Data (Before)'!A158</f>
        <v>EMP0016</v>
      </c>
      <c r="B158" s="7" t="str">
        <f aca="false">PROPER(TRIM('Raw_Data (Before)'!B158))</f>
        <v>John Yakubu</v>
      </c>
      <c r="C158" s="7" t="str">
        <f aca="false">IFERROR(INDEX(Lookup_Tables!$B$5:$B$24,MATCH(UPPER(TRIM('Raw_Data (Before)'!C158)),Lookup_Tables!$A$5:$A$24,0)),"UNMAPPED")</f>
        <v>Marketing</v>
      </c>
      <c r="D158" s="7" t="str">
        <f aca="false">IFERROR(INDEX(Lookup_Tables!$E$5:$E$8,MATCH(UPPER(TRIM('Raw_Data (Before)'!D158)),Lookup_Tables!$D$5:$D$8,0)),"UNMAPPED")</f>
        <v>Male</v>
      </c>
      <c r="E158" s="7" t="n">
        <f aca="false">'Raw_Data (Before)'!E158</f>
        <v>42</v>
      </c>
      <c r="F158" s="7" t="str">
        <f aca="false">IF(E158="","No",IF(OR(E158&lt;16,E158&gt;75),"No","Yes"))</f>
        <v>Yes</v>
      </c>
      <c r="G158" s="7" t="n">
        <f aca="false">IFERROR(VALUE(SUBSTITUTE(SUBSTITUTE('Raw_Data (Before)'!F158,"₦",""),",","")),"")</f>
        <v>170963</v>
      </c>
      <c r="H158" s="7" t="str">
        <f aca="false">IF(G158="","No",IF(OR(G158&lt;=0,G158&gt;5000000),"No","Yes"))</f>
        <v>Yes</v>
      </c>
      <c r="I158" s="8" t="str">
        <f aca="false">IFERROR(DATEVALUE('Raw_Data (Before)'!G158),"")</f>
        <v/>
      </c>
      <c r="J158" s="7" t="str">
        <f aca="false">IF(I158="","No","Yes")</f>
        <v>No</v>
      </c>
      <c r="K158" s="7" t="str">
        <f aca="false">IF(OR(ISERROR(FIND("@",'Raw_Data (Before)'!H158)),ISNUMBER(FIND("@@",'Raw_Data (Before)'!H158)),ISNUMBER(FIND(" ",'Raw_Data (Before)'!H158)),ISERROR(FIND(".",'Raw_Data (Before)'!H158,FIND("@",'Raw_Data (Before)'!H158)))),"No","Yes")</f>
        <v>Yes</v>
      </c>
      <c r="L158" s="7" t="str">
        <f aca="false">IFERROR(INDEX(Lookup_Tables!$H$5:$H$9,MATCH(UPPER(TRIM('Raw_Data (Before)'!I158)),Lookup_Tables!$G$5:$G$9,0)),"UNMAPPED")</f>
        <v>Inactive</v>
      </c>
      <c r="M158" s="7" t="str">
        <f aca="false">IF(COUNTIF('Raw_Data (Before)'!$A$5:$A$424,A158)&gt;1,"YES","No")</f>
        <v>No</v>
      </c>
      <c r="N158" s="7" t="str">
        <f aca="false">IF(OR(C158="UNMAPPED",D158="UNMAPPED",F158="No",H158="No",J158="No",K158="No",L158="UNMAPPED",M158="YES"),"NEEDS REVIEW","OK")</f>
        <v>NEEDS REVIEW</v>
      </c>
    </row>
    <row r="159" customFormat="false" ht="15" hidden="false" customHeight="false" outlineLevel="0" collapsed="false">
      <c r="A159" s="7" t="str">
        <f aca="false">'Raw_Data (Before)'!A159</f>
        <v>EMP0362</v>
      </c>
      <c r="B159" s="7" t="str">
        <f aca="false">PROPER(TRIM('Raw_Data (Before)'!B159))</f>
        <v>Emeka Bello</v>
      </c>
      <c r="C159" s="7" t="str">
        <f aca="false">IFERROR(INDEX(Lookup_Tables!$B$5:$B$24,MATCH(UPPER(TRIM('Raw_Data (Before)'!C159)),Lookup_Tables!$A$5:$A$24,0)),"UNMAPPED")</f>
        <v>HR</v>
      </c>
      <c r="D159" s="7" t="str">
        <f aca="false">IFERROR(INDEX(Lookup_Tables!$E$5:$E$8,MATCH(UPPER(TRIM('Raw_Data (Before)'!D159)),Lookup_Tables!$D$5:$D$8,0)),"UNMAPPED")</f>
        <v>Female</v>
      </c>
      <c r="E159" s="7" t="n">
        <f aca="false">'Raw_Data (Before)'!E159</f>
        <v>29</v>
      </c>
      <c r="F159" s="7" t="str">
        <f aca="false">IF(E159="","No",IF(OR(E159&lt;16,E159&gt;75),"No","Yes"))</f>
        <v>Yes</v>
      </c>
      <c r="G159" s="7" t="n">
        <f aca="false">IFERROR(VALUE(SUBSTITUTE(SUBSTITUTE('Raw_Data (Before)'!F159,"₦",""),",","")),"")</f>
        <v>187900</v>
      </c>
      <c r="H159" s="7" t="str">
        <f aca="false">IF(G159="","No",IF(OR(G159&lt;=0,G159&gt;5000000),"No","Yes"))</f>
        <v>Yes</v>
      </c>
      <c r="I159" s="8" t="str">
        <f aca="false">IFERROR(DATEVALUE('Raw_Data (Before)'!G159),"")</f>
        <v/>
      </c>
      <c r="J159" s="7" t="str">
        <f aca="false">IF(I159="","No","Yes")</f>
        <v>No</v>
      </c>
      <c r="K159" s="7" t="str">
        <f aca="false">IF(OR(ISERROR(FIND("@",'Raw_Data (Before)'!H159)),ISNUMBER(FIND("@@",'Raw_Data (Before)'!H159)),ISNUMBER(FIND(" ",'Raw_Data (Before)'!H159)),ISERROR(FIND(".",'Raw_Data (Before)'!H159,FIND("@",'Raw_Data (Before)'!H159)))),"No","Yes")</f>
        <v>Yes</v>
      </c>
      <c r="L159" s="7" t="str">
        <f aca="false">IFERROR(INDEX(Lookup_Tables!$H$5:$H$9,MATCH(UPPER(TRIM('Raw_Data (Before)'!I159)),Lookup_Tables!$G$5:$G$9,0)),"UNMAPPED")</f>
        <v>Active</v>
      </c>
      <c r="M159" s="7" t="str">
        <f aca="false">IF(COUNTIF('Raw_Data (Before)'!$A$5:$A$424,A159)&gt;1,"YES","No")</f>
        <v>No</v>
      </c>
      <c r="N159" s="7" t="str">
        <f aca="false">IF(OR(C159="UNMAPPED",D159="UNMAPPED",F159="No",H159="No",J159="No",K159="No",L159="UNMAPPED",M159="YES"),"NEEDS REVIEW","OK")</f>
        <v>NEEDS REVIEW</v>
      </c>
    </row>
    <row r="160" customFormat="false" ht="15" hidden="false" customHeight="false" outlineLevel="0" collapsed="false">
      <c r="A160" s="7" t="str">
        <f aca="false">'Raw_Data (Before)'!A160</f>
        <v>EMP0379</v>
      </c>
      <c r="B160" s="7" t="str">
        <f aca="false">PROPER(TRIM('Raw_Data (Before)'!B160))</f>
        <v>Comfort Nnamdi</v>
      </c>
      <c r="C160" s="7" t="str">
        <f aca="false">IFERROR(INDEX(Lookup_Tables!$B$5:$B$24,MATCH(UPPER(TRIM('Raw_Data (Before)'!C160)),Lookup_Tables!$A$5:$A$24,0)),"UNMAPPED")</f>
        <v>Finance</v>
      </c>
      <c r="D160" s="7" t="str">
        <f aca="false">IFERROR(INDEX(Lookup_Tables!$E$5:$E$8,MATCH(UPPER(TRIM('Raw_Data (Before)'!D160)),Lookup_Tables!$D$5:$D$8,0)),"UNMAPPED")</f>
        <v>Male</v>
      </c>
      <c r="E160" s="7" t="n">
        <f aca="false">'Raw_Data (Before)'!E160</f>
        <v>26</v>
      </c>
      <c r="F160" s="7" t="str">
        <f aca="false">IF(E160="","No",IF(OR(E160&lt;16,E160&gt;75),"No","Yes"))</f>
        <v>Yes</v>
      </c>
      <c r="G160" s="7" t="n">
        <f aca="false">IFERROR(VALUE(SUBSTITUTE(SUBSTITUTE('Raw_Data (Before)'!F160,"₦",""),",","")),"")</f>
        <v>524167</v>
      </c>
      <c r="H160" s="7" t="str">
        <f aca="false">IF(G160="","No",IF(OR(G160&lt;=0,G160&gt;5000000),"No","Yes"))</f>
        <v>Yes</v>
      </c>
      <c r="I160" s="8" t="str">
        <f aca="false">IFERROR(DATEVALUE('Raw_Data (Before)'!G160),"")</f>
        <v/>
      </c>
      <c r="J160" s="7" t="str">
        <f aca="false">IF(I160="","No","Yes")</f>
        <v>No</v>
      </c>
      <c r="K160" s="7" t="str">
        <f aca="false">IF(OR(ISERROR(FIND("@",'Raw_Data (Before)'!H160)),ISNUMBER(FIND("@@",'Raw_Data (Before)'!H160)),ISNUMBER(FIND(" ",'Raw_Data (Before)'!H160)),ISERROR(FIND(".",'Raw_Data (Before)'!H160,FIND("@",'Raw_Data (Before)'!H160)))),"No","Yes")</f>
        <v>No</v>
      </c>
      <c r="L160" s="7" t="str">
        <f aca="false">IFERROR(INDEX(Lookup_Tables!$H$5:$H$9,MATCH(UPPER(TRIM('Raw_Data (Before)'!I160)),Lookup_Tables!$G$5:$G$9,0)),"UNMAPPED")</f>
        <v>Active</v>
      </c>
      <c r="M160" s="7" t="str">
        <f aca="false">IF(COUNTIF('Raw_Data (Before)'!$A$5:$A$424,A160)&gt;1,"YES","No")</f>
        <v>No</v>
      </c>
      <c r="N160" s="7" t="str">
        <f aca="false">IF(OR(C160="UNMAPPED",D160="UNMAPPED",F160="No",H160="No",J160="No",K160="No",L160="UNMAPPED",M160="YES"),"NEEDS REVIEW","OK")</f>
        <v>NEEDS REVIEW</v>
      </c>
    </row>
    <row r="161" customFormat="false" ht="15" hidden="false" customHeight="false" outlineLevel="0" collapsed="false">
      <c r="A161" s="7" t="str">
        <f aca="false">'Raw_Data (Before)'!A161</f>
        <v>EMP0366</v>
      </c>
      <c r="B161" s="7" t="str">
        <f aca="false">PROPER(TRIM('Raw_Data (Before)'!B161))</f>
        <v>Patience Duru</v>
      </c>
      <c r="C161" s="7" t="str">
        <f aca="false">IFERROR(INDEX(Lookup_Tables!$B$5:$B$24,MATCH(UPPER(TRIM('Raw_Data (Before)'!C161)),Lookup_Tables!$A$5:$A$24,0)),"UNMAPPED")</f>
        <v>Sales</v>
      </c>
      <c r="D161" s="7" t="str">
        <f aca="false">IFERROR(INDEX(Lookup_Tables!$E$5:$E$8,MATCH(UPPER(TRIM('Raw_Data (Before)'!D161)),Lookup_Tables!$D$5:$D$8,0)),"UNMAPPED")</f>
        <v>Male</v>
      </c>
      <c r="E161" s="7" t="n">
        <f aca="false">'Raw_Data (Before)'!E161</f>
        <v>59</v>
      </c>
      <c r="F161" s="7" t="str">
        <f aca="false">IF(E161="","No",IF(OR(E161&lt;16,E161&gt;75),"No","Yes"))</f>
        <v>Yes</v>
      </c>
      <c r="G161" s="7" t="n">
        <f aca="false">IFERROR(VALUE(SUBSTITUTE(SUBSTITUTE('Raw_Data (Before)'!F161,"₦",""),",","")),"")</f>
        <v>274305</v>
      </c>
      <c r="H161" s="7" t="str">
        <f aca="false">IF(G161="","No",IF(OR(G161&lt;=0,G161&gt;5000000),"No","Yes"))</f>
        <v>Yes</v>
      </c>
      <c r="I161" s="8" t="n">
        <f aca="false">IFERROR(DATEVALUE('Raw_Data (Before)'!G161),"")</f>
        <v>43430</v>
      </c>
      <c r="J161" s="7" t="str">
        <f aca="false">IF(I161="","No","Yes")</f>
        <v>Yes</v>
      </c>
      <c r="K161" s="7" t="str">
        <f aca="false">IF(OR(ISERROR(FIND("@",'Raw_Data (Before)'!H161)),ISNUMBER(FIND("@@",'Raw_Data (Before)'!H161)),ISNUMBER(FIND(" ",'Raw_Data (Before)'!H161)),ISERROR(FIND(".",'Raw_Data (Before)'!H161,FIND("@",'Raw_Data (Before)'!H161)))),"No","Yes")</f>
        <v>Yes</v>
      </c>
      <c r="L161" s="7" t="str">
        <f aca="false">IFERROR(INDEX(Lookup_Tables!$H$5:$H$9,MATCH(UPPER(TRIM('Raw_Data (Before)'!I161)),Lookup_Tables!$G$5:$G$9,0)),"UNMAPPED")</f>
        <v>Active</v>
      </c>
      <c r="M161" s="7" t="str">
        <f aca="false">IF(COUNTIF('Raw_Data (Before)'!$A$5:$A$424,A161)&gt;1,"YES","No")</f>
        <v>No</v>
      </c>
      <c r="N161" s="7" t="str">
        <f aca="false">IF(OR(C161="UNMAPPED",D161="UNMAPPED",F161="No",H161="No",J161="No",K161="No",L161="UNMAPPED",M161="YES"),"NEEDS REVIEW","OK")</f>
        <v>OK</v>
      </c>
    </row>
    <row r="162" customFormat="false" ht="15" hidden="false" customHeight="false" outlineLevel="0" collapsed="false">
      <c r="A162" s="7" t="str">
        <f aca="false">'Raw_Data (Before)'!A162</f>
        <v>EMP0347</v>
      </c>
      <c r="B162" s="7" t="str">
        <f aca="false">PROPER(TRIM('Raw_Data (Before)'!B162))</f>
        <v>Aisha Bello</v>
      </c>
      <c r="C162" s="7" t="str">
        <f aca="false">IFERROR(INDEX(Lookup_Tables!$B$5:$B$24,MATCH(UPPER(TRIM('Raw_Data (Before)'!C162)),Lookup_Tables!$A$5:$A$24,0)),"UNMAPPED")</f>
        <v>Operations</v>
      </c>
      <c r="D162" s="7" t="str">
        <f aca="false">IFERROR(INDEX(Lookup_Tables!$E$5:$E$8,MATCH(UPPER(TRIM('Raw_Data (Before)'!D162)),Lookup_Tables!$D$5:$D$8,0)),"UNMAPPED")</f>
        <v>Male</v>
      </c>
      <c r="E162" s="7" t="n">
        <f aca="false">'Raw_Data (Before)'!E162</f>
        <v>33</v>
      </c>
      <c r="F162" s="7" t="str">
        <f aca="false">IF(E162="","No",IF(OR(E162&lt;16,E162&gt;75),"No","Yes"))</f>
        <v>Yes</v>
      </c>
      <c r="G162" s="7" t="n">
        <f aca="false">IFERROR(VALUE(SUBSTITUTE(SUBSTITUTE('Raw_Data (Before)'!F162,"₦",""),",","")),"")</f>
        <v>318736</v>
      </c>
      <c r="H162" s="7" t="str">
        <f aca="false">IF(G162="","No",IF(OR(G162&lt;=0,G162&gt;5000000),"No","Yes"))</f>
        <v>Yes</v>
      </c>
      <c r="I162" s="8" t="n">
        <f aca="false">IFERROR(DATEVALUE('Raw_Data (Before)'!G162),"")</f>
        <v>44773</v>
      </c>
      <c r="J162" s="7" t="str">
        <f aca="false">IF(I162="","No","Yes")</f>
        <v>Yes</v>
      </c>
      <c r="K162" s="7" t="str">
        <f aca="false">IF(OR(ISERROR(FIND("@",'Raw_Data (Before)'!H162)),ISNUMBER(FIND("@@",'Raw_Data (Before)'!H162)),ISNUMBER(FIND(" ",'Raw_Data (Before)'!H162)),ISERROR(FIND(".",'Raw_Data (Before)'!H162,FIND("@",'Raw_Data (Before)'!H162)))),"No","Yes")</f>
        <v>Yes</v>
      </c>
      <c r="L162" s="7" t="str">
        <f aca="false">IFERROR(INDEX(Lookup_Tables!$H$5:$H$9,MATCH(UPPER(TRIM('Raw_Data (Before)'!I162)),Lookup_Tables!$G$5:$G$9,0)),"UNMAPPED")</f>
        <v>Inactive</v>
      </c>
      <c r="M162" s="7" t="str">
        <f aca="false">IF(COUNTIF('Raw_Data (Before)'!$A$5:$A$424,A162)&gt;1,"YES","No")</f>
        <v>No</v>
      </c>
      <c r="N162" s="7" t="str">
        <f aca="false">IF(OR(C162="UNMAPPED",D162="UNMAPPED",F162="No",H162="No",J162="No",K162="No",L162="UNMAPPED",M162="YES"),"NEEDS REVIEW","OK")</f>
        <v>OK</v>
      </c>
    </row>
    <row r="163" customFormat="false" ht="15" hidden="false" customHeight="false" outlineLevel="0" collapsed="false">
      <c r="A163" s="7" t="str">
        <f aca="false">'Raw_Data (Before)'!A163</f>
        <v>EMP0172</v>
      </c>
      <c r="B163" s="7" t="str">
        <f aca="false">PROPER(TRIM('Raw_Data (Before)'!B163))</f>
        <v>Patience Nnamdi</v>
      </c>
      <c r="C163" s="7" t="str">
        <f aca="false">IFERROR(INDEX(Lookup_Tables!$B$5:$B$24,MATCH(UPPER(TRIM('Raw_Data (Before)'!C163)),Lookup_Tables!$A$5:$A$24,0)),"UNMAPPED")</f>
        <v>Finance</v>
      </c>
      <c r="D163" s="7" t="str">
        <f aca="false">IFERROR(INDEX(Lookup_Tables!$E$5:$E$8,MATCH(UPPER(TRIM('Raw_Data (Before)'!D163)),Lookup_Tables!$D$5:$D$8,0)),"UNMAPPED")</f>
        <v>Female</v>
      </c>
      <c r="E163" s="7" t="n">
        <f aca="false">'Raw_Data (Before)'!E163</f>
        <v>44</v>
      </c>
      <c r="F163" s="7" t="str">
        <f aca="false">IF(E163="","No",IF(OR(E163&lt;16,E163&gt;75),"No","Yes"))</f>
        <v>Yes</v>
      </c>
      <c r="G163" s="7" t="n">
        <f aca="false">IFERROR(VALUE(SUBSTITUTE(SUBSTITUTE('Raw_Data (Before)'!F163,"₦",""),",","")),"")</f>
        <v>640632</v>
      </c>
      <c r="H163" s="7" t="str">
        <f aca="false">IF(G163="","No",IF(OR(G163&lt;=0,G163&gt;5000000),"No","Yes"))</f>
        <v>Yes</v>
      </c>
      <c r="I163" s="8" t="n">
        <f aca="false">IFERROR(DATEVALUE('Raw_Data (Before)'!G163),"")</f>
        <v>45542</v>
      </c>
      <c r="J163" s="7" t="str">
        <f aca="false">IF(I163="","No","Yes")</f>
        <v>Yes</v>
      </c>
      <c r="K163" s="7" t="str">
        <f aca="false">IF(OR(ISERROR(FIND("@",'Raw_Data (Before)'!H163)),ISNUMBER(FIND("@@",'Raw_Data (Before)'!H163)),ISNUMBER(FIND(" ",'Raw_Data (Before)'!H163)),ISERROR(FIND(".",'Raw_Data (Before)'!H163,FIND("@",'Raw_Data (Before)'!H163)))),"No","Yes")</f>
        <v>Yes</v>
      </c>
      <c r="L163" s="7" t="str">
        <f aca="false">IFERROR(INDEX(Lookup_Tables!$H$5:$H$9,MATCH(UPPER(TRIM('Raw_Data (Before)'!I163)),Lookup_Tables!$G$5:$G$9,0)),"UNMAPPED")</f>
        <v>Inactive</v>
      </c>
      <c r="M163" s="7" t="str">
        <f aca="false">IF(COUNTIF('Raw_Data (Before)'!$A$5:$A$424,A163)&gt;1,"YES","No")</f>
        <v>YES</v>
      </c>
      <c r="N163" s="7" t="str">
        <f aca="false">IF(OR(C163="UNMAPPED",D163="UNMAPPED",F163="No",H163="No",J163="No",K163="No",L163="UNMAPPED",M163="YES"),"NEEDS REVIEW","OK")</f>
        <v>NEEDS REVIEW</v>
      </c>
    </row>
    <row r="164" customFormat="false" ht="15" hidden="false" customHeight="false" outlineLevel="0" collapsed="false">
      <c r="A164" s="7" t="str">
        <f aca="false">'Raw_Data (Before)'!A164</f>
        <v>EMP0041</v>
      </c>
      <c r="B164" s="7" t="str">
        <f aca="false">PROPER(TRIM('Raw_Data (Before)'!B164))</f>
        <v>Gabriel Yakubu</v>
      </c>
      <c r="C164" s="7" t="str">
        <f aca="false">IFERROR(INDEX(Lookup_Tables!$B$5:$B$24,MATCH(UPPER(TRIM('Raw_Data (Before)'!C164)),Lookup_Tables!$A$5:$A$24,0)),"UNMAPPED")</f>
        <v>HR</v>
      </c>
      <c r="D164" s="7" t="str">
        <f aca="false">IFERROR(INDEX(Lookup_Tables!$E$5:$E$8,MATCH(UPPER(TRIM('Raw_Data (Before)'!D164)),Lookup_Tables!$D$5:$D$8,0)),"UNMAPPED")</f>
        <v>Male</v>
      </c>
      <c r="E164" s="7" t="n">
        <f aca="false">'Raw_Data (Before)'!E164</f>
        <v>47</v>
      </c>
      <c r="F164" s="7" t="str">
        <f aca="false">IF(E164="","No",IF(OR(E164&lt;16,E164&gt;75),"No","Yes"))</f>
        <v>Yes</v>
      </c>
      <c r="G164" s="7" t="n">
        <f aca="false">IFERROR(VALUE(SUBSTITUTE(SUBSTITUTE('Raw_Data (Before)'!F164,"₦",""),",","")),"")</f>
        <v>440668</v>
      </c>
      <c r="H164" s="7" t="str">
        <f aca="false">IF(G164="","No",IF(OR(G164&lt;=0,G164&gt;5000000),"No","Yes"))</f>
        <v>Yes</v>
      </c>
      <c r="I164" s="8" t="n">
        <f aca="false">IFERROR(DATEVALUE('Raw_Data (Before)'!G164),"")</f>
        <v>44761</v>
      </c>
      <c r="J164" s="7" t="str">
        <f aca="false">IF(I164="","No","Yes")</f>
        <v>Yes</v>
      </c>
      <c r="K164" s="7" t="str">
        <f aca="false">IF(OR(ISERROR(FIND("@",'Raw_Data (Before)'!H164)),ISNUMBER(FIND("@@",'Raw_Data (Before)'!H164)),ISNUMBER(FIND(" ",'Raw_Data (Before)'!H164)),ISERROR(FIND(".",'Raw_Data (Before)'!H164,FIND("@",'Raw_Data (Before)'!H164)))),"No","Yes")</f>
        <v>Yes</v>
      </c>
      <c r="L164" s="7" t="str">
        <f aca="false">IFERROR(INDEX(Lookup_Tables!$H$5:$H$9,MATCH(UPPER(TRIM('Raw_Data (Before)'!I164)),Lookup_Tables!$G$5:$G$9,0)),"UNMAPPED")</f>
        <v>Inactive</v>
      </c>
      <c r="M164" s="7" t="str">
        <f aca="false">IF(COUNTIF('Raw_Data (Before)'!$A$5:$A$424,A164)&gt;1,"YES","No")</f>
        <v>No</v>
      </c>
      <c r="N164" s="7" t="str">
        <f aca="false">IF(OR(C164="UNMAPPED",D164="UNMAPPED",F164="No",H164="No",J164="No",K164="No",L164="UNMAPPED",M164="YES"),"NEEDS REVIEW","OK")</f>
        <v>OK</v>
      </c>
    </row>
    <row r="165" customFormat="false" ht="15" hidden="false" customHeight="false" outlineLevel="0" collapsed="false">
      <c r="A165" s="7" t="str">
        <f aca="false">'Raw_Data (Before)'!A165</f>
        <v>EMP0354</v>
      </c>
      <c r="B165" s="7" t="str">
        <f aca="false">PROPER(TRIM('Raw_Data (Before)'!B165))</f>
        <v>Joy Umeh</v>
      </c>
      <c r="C165" s="7" t="str">
        <f aca="false">IFERROR(INDEX(Lookup_Tables!$B$5:$B$24,MATCH(UPPER(TRIM('Raw_Data (Before)'!C165)),Lookup_Tables!$A$5:$A$24,0)),"UNMAPPED")</f>
        <v>Operations</v>
      </c>
      <c r="D165" s="7" t="str">
        <f aca="false">IFERROR(INDEX(Lookup_Tables!$E$5:$E$8,MATCH(UPPER(TRIM('Raw_Data (Before)'!D165)),Lookup_Tables!$D$5:$D$8,0)),"UNMAPPED")</f>
        <v>Male</v>
      </c>
      <c r="E165" s="7" t="n">
        <f aca="false">'Raw_Data (Before)'!E165</f>
        <v>29</v>
      </c>
      <c r="F165" s="7" t="str">
        <f aca="false">IF(E165="","No",IF(OR(E165&lt;16,E165&gt;75),"No","Yes"))</f>
        <v>Yes</v>
      </c>
      <c r="G165" s="7" t="n">
        <f aca="false">IFERROR(VALUE(SUBSTITUTE(SUBSTITUTE('Raw_Data (Before)'!F165,"₦",""),",","")),"")</f>
        <v>234025</v>
      </c>
      <c r="H165" s="7" t="str">
        <f aca="false">IF(G165="","No",IF(OR(G165&lt;=0,G165&gt;5000000),"No","Yes"))</f>
        <v>Yes</v>
      </c>
      <c r="I165" s="8" t="n">
        <f aca="false">IFERROR(DATEVALUE('Raw_Data (Before)'!G165),"")</f>
        <v>44048</v>
      </c>
      <c r="J165" s="7" t="str">
        <f aca="false">IF(I165="","No","Yes")</f>
        <v>Yes</v>
      </c>
      <c r="K165" s="7" t="str">
        <f aca="false">IF(OR(ISERROR(FIND("@",'Raw_Data (Before)'!H165)),ISNUMBER(FIND("@@",'Raw_Data (Before)'!H165)),ISNUMBER(FIND(" ",'Raw_Data (Before)'!H165)),ISERROR(FIND(".",'Raw_Data (Before)'!H165,FIND("@",'Raw_Data (Before)'!H165)))),"No","Yes")</f>
        <v>Yes</v>
      </c>
      <c r="L165" s="7" t="str">
        <f aca="false">IFERROR(INDEX(Lookup_Tables!$H$5:$H$9,MATCH(UPPER(TRIM('Raw_Data (Before)'!I165)),Lookup_Tables!$G$5:$G$9,0)),"UNMAPPED")</f>
        <v>Active</v>
      </c>
      <c r="M165" s="7" t="str">
        <f aca="false">IF(COUNTIF('Raw_Data (Before)'!$A$5:$A$424,A165)&gt;1,"YES","No")</f>
        <v>No</v>
      </c>
      <c r="N165" s="7" t="str">
        <f aca="false">IF(OR(C165="UNMAPPED",D165="UNMAPPED",F165="No",H165="No",J165="No",K165="No",L165="UNMAPPED",M165="YES"),"NEEDS REVIEW","OK")</f>
        <v>OK</v>
      </c>
    </row>
    <row r="166" customFormat="false" ht="15" hidden="false" customHeight="false" outlineLevel="0" collapsed="false">
      <c r="A166" s="7" t="str">
        <f aca="false">'Raw_Data (Before)'!A166</f>
        <v>EMP0392</v>
      </c>
      <c r="B166" s="7" t="str">
        <f aca="false">PROPER(TRIM('Raw_Data (Before)'!B166))</f>
        <v>James Balogun</v>
      </c>
      <c r="C166" s="7" t="str">
        <f aca="false">IFERROR(INDEX(Lookup_Tables!$B$5:$B$24,MATCH(UPPER(TRIM('Raw_Data (Before)'!C166)),Lookup_Tables!$A$5:$A$24,0)),"UNMAPPED")</f>
        <v>Sales</v>
      </c>
      <c r="D166" s="7" t="str">
        <f aca="false">IFERROR(INDEX(Lookup_Tables!$E$5:$E$8,MATCH(UPPER(TRIM('Raw_Data (Before)'!D166)),Lookup_Tables!$D$5:$D$8,0)),"UNMAPPED")</f>
        <v>Female</v>
      </c>
      <c r="E166" s="7" t="n">
        <f aca="false">'Raw_Data (Before)'!E166</f>
        <v>32</v>
      </c>
      <c r="F166" s="7" t="str">
        <f aca="false">IF(E166="","No",IF(OR(E166&lt;16,E166&gt;75),"No","Yes"))</f>
        <v>Yes</v>
      </c>
      <c r="G166" s="7" t="n">
        <f aca="false">IFERROR(VALUE(SUBSTITUTE(SUBSTITUTE('Raw_Data (Before)'!F166,"₦",""),",","")),"")</f>
        <v>59135100</v>
      </c>
      <c r="H166" s="7" t="str">
        <f aca="false">IF(G166="","No",IF(OR(G166&lt;=0,G166&gt;5000000),"No","Yes"))</f>
        <v>No</v>
      </c>
      <c r="I166" s="8" t="n">
        <f aca="false">IFERROR(DATEVALUE('Raw_Data (Before)'!G166),"")</f>
        <v>43545</v>
      </c>
      <c r="J166" s="7" t="str">
        <f aca="false">IF(I166="","No","Yes")</f>
        <v>Yes</v>
      </c>
      <c r="K166" s="7" t="str">
        <f aca="false">IF(OR(ISERROR(FIND("@",'Raw_Data (Before)'!H166)),ISNUMBER(FIND("@@",'Raw_Data (Before)'!H166)),ISNUMBER(FIND(" ",'Raw_Data (Before)'!H166)),ISERROR(FIND(".",'Raw_Data (Before)'!H166,FIND("@",'Raw_Data (Before)'!H166)))),"No","Yes")</f>
        <v>Yes</v>
      </c>
      <c r="L166" s="7" t="str">
        <f aca="false">IFERROR(INDEX(Lookup_Tables!$H$5:$H$9,MATCH(UPPER(TRIM('Raw_Data (Before)'!I166)),Lookup_Tables!$G$5:$G$9,0)),"UNMAPPED")</f>
        <v>Active</v>
      </c>
      <c r="M166" s="7" t="str">
        <f aca="false">IF(COUNTIF('Raw_Data (Before)'!$A$5:$A$424,A166)&gt;1,"YES","No")</f>
        <v>No</v>
      </c>
      <c r="N166" s="7" t="str">
        <f aca="false">IF(OR(C166="UNMAPPED",D166="UNMAPPED",F166="No",H166="No",J166="No",K166="No",L166="UNMAPPED",M166="YES"),"NEEDS REVIEW","OK")</f>
        <v>NEEDS REVIEW</v>
      </c>
    </row>
    <row r="167" customFormat="false" ht="15" hidden="false" customHeight="false" outlineLevel="0" collapsed="false">
      <c r="A167" s="7" t="str">
        <f aca="false">'Raw_Data (Before)'!A167</f>
        <v>EMP0176</v>
      </c>
      <c r="B167" s="7" t="str">
        <f aca="false">PROPER(TRIM('Raw_Data (Before)'!B167))</f>
        <v>Victor Chukwu</v>
      </c>
      <c r="C167" s="7" t="str">
        <f aca="false">IFERROR(INDEX(Lookup_Tables!$B$5:$B$24,MATCH(UPPER(TRIM('Raw_Data (Before)'!C167)),Lookup_Tables!$A$5:$A$24,0)),"UNMAPPED")</f>
        <v>Marketing</v>
      </c>
      <c r="D167" s="7" t="str">
        <f aca="false">IFERROR(INDEX(Lookup_Tables!$E$5:$E$8,MATCH(UPPER(TRIM('Raw_Data (Before)'!D167)),Lookup_Tables!$D$5:$D$8,0)),"UNMAPPED")</f>
        <v>Male</v>
      </c>
      <c r="E167" s="7" t="n">
        <f aca="false">'Raw_Data (Before)'!E167</f>
        <v>59</v>
      </c>
      <c r="F167" s="7" t="str">
        <f aca="false">IF(E167="","No",IF(OR(E167&lt;16,E167&gt;75),"No","Yes"))</f>
        <v>Yes</v>
      </c>
      <c r="G167" s="7" t="n">
        <f aca="false">IFERROR(VALUE(SUBSTITUTE(SUBSTITUTE('Raw_Data (Before)'!F167,"₦",""),",","")),"")</f>
        <v>249883</v>
      </c>
      <c r="H167" s="7" t="str">
        <f aca="false">IF(G167="","No",IF(OR(G167&lt;=0,G167&gt;5000000),"No","Yes"))</f>
        <v>Yes</v>
      </c>
      <c r="I167" s="8" t="n">
        <f aca="false">IFERROR(DATEVALUE('Raw_Data (Before)'!G167),"")</f>
        <v>45816</v>
      </c>
      <c r="J167" s="7" t="str">
        <f aca="false">IF(I167="","No","Yes")</f>
        <v>Yes</v>
      </c>
      <c r="K167" s="7" t="str">
        <f aca="false">IF(OR(ISERROR(FIND("@",'Raw_Data (Before)'!H167)),ISNUMBER(FIND("@@",'Raw_Data (Before)'!H167)),ISNUMBER(FIND(" ",'Raw_Data (Before)'!H167)),ISERROR(FIND(".",'Raw_Data (Before)'!H167,FIND("@",'Raw_Data (Before)'!H167)))),"No","Yes")</f>
        <v>Yes</v>
      </c>
      <c r="L167" s="7" t="str">
        <f aca="false">IFERROR(INDEX(Lookup_Tables!$H$5:$H$9,MATCH(UPPER(TRIM('Raw_Data (Before)'!I167)),Lookup_Tables!$G$5:$G$9,0)),"UNMAPPED")</f>
        <v>Active</v>
      </c>
      <c r="M167" s="7" t="str">
        <f aca="false">IF(COUNTIF('Raw_Data (Before)'!$A$5:$A$424,A167)&gt;1,"YES","No")</f>
        <v>No</v>
      </c>
      <c r="N167" s="7" t="str">
        <f aca="false">IF(OR(C167="UNMAPPED",D167="UNMAPPED",F167="No",H167="No",J167="No",K167="No",L167="UNMAPPED",M167="YES"),"NEEDS REVIEW","OK")</f>
        <v>OK</v>
      </c>
    </row>
    <row r="168" customFormat="false" ht="15" hidden="false" customHeight="false" outlineLevel="0" collapsed="false">
      <c r="A168" s="7" t="str">
        <f aca="false">'Raw_Data (Before)'!A168</f>
        <v>EMP0400</v>
      </c>
      <c r="B168" s="7" t="str">
        <f aca="false">PROPER(TRIM('Raw_Data (Before)'!B168))</f>
        <v>Ifeoma Chukwu</v>
      </c>
      <c r="C168" s="7" t="str">
        <f aca="false">IFERROR(INDEX(Lookup_Tables!$B$5:$B$24,MATCH(UPPER(TRIM('Raw_Data (Before)'!C168)),Lookup_Tables!$A$5:$A$24,0)),"UNMAPPED")</f>
        <v>Sales</v>
      </c>
      <c r="D168" s="7" t="str">
        <f aca="false">IFERROR(INDEX(Lookup_Tables!$E$5:$E$8,MATCH(UPPER(TRIM('Raw_Data (Before)'!D168)),Lookup_Tables!$D$5:$D$8,0)),"UNMAPPED")</f>
        <v>Female</v>
      </c>
      <c r="E168" s="7" t="n">
        <f aca="false">'Raw_Data (Before)'!E168</f>
        <v>31</v>
      </c>
      <c r="F168" s="7" t="str">
        <f aca="false">IF(E168="","No",IF(OR(E168&lt;16,E168&gt;75),"No","Yes"))</f>
        <v>Yes</v>
      </c>
      <c r="G168" s="7" t="n">
        <f aca="false">IFERROR(VALUE(SUBSTITUTE(SUBSTITUTE('Raw_Data (Before)'!F168,"₦",""),",","")),"")</f>
        <v>185076</v>
      </c>
      <c r="H168" s="7" t="str">
        <f aca="false">IF(G168="","No",IF(OR(G168&lt;=0,G168&gt;5000000),"No","Yes"))</f>
        <v>Yes</v>
      </c>
      <c r="I168" s="8" t="n">
        <f aca="false">IFERROR(DATEVALUE('Raw_Data (Before)'!G168),"")</f>
        <v>45214</v>
      </c>
      <c r="J168" s="7" t="str">
        <f aca="false">IF(I168="","No","Yes")</f>
        <v>Yes</v>
      </c>
      <c r="K168" s="7" t="str">
        <f aca="false">IF(OR(ISERROR(FIND("@",'Raw_Data (Before)'!H168)),ISNUMBER(FIND("@@",'Raw_Data (Before)'!H168)),ISNUMBER(FIND(" ",'Raw_Data (Before)'!H168)),ISERROR(FIND(".",'Raw_Data (Before)'!H168,FIND("@",'Raw_Data (Before)'!H168)))),"No","Yes")</f>
        <v>Yes</v>
      </c>
      <c r="L168" s="7" t="str">
        <f aca="false">IFERROR(INDEX(Lookup_Tables!$H$5:$H$9,MATCH(UPPER(TRIM('Raw_Data (Before)'!I168)),Lookup_Tables!$G$5:$G$9,0)),"UNMAPPED")</f>
        <v>Active</v>
      </c>
      <c r="M168" s="7" t="str">
        <f aca="false">IF(COUNTIF('Raw_Data (Before)'!$A$5:$A$424,A168)&gt;1,"YES","No")</f>
        <v>No</v>
      </c>
      <c r="N168" s="7" t="str">
        <f aca="false">IF(OR(C168="UNMAPPED",D168="UNMAPPED",F168="No",H168="No",J168="No",K168="No",L168="UNMAPPED",M168="YES"),"NEEDS REVIEW","OK")</f>
        <v>OK</v>
      </c>
    </row>
    <row r="169" customFormat="false" ht="15" hidden="false" customHeight="false" outlineLevel="0" collapsed="false">
      <c r="A169" s="7" t="str">
        <f aca="false">'Raw_Data (Before)'!A169</f>
        <v>EMP0199</v>
      </c>
      <c r="B169" s="7" t="str">
        <f aca="false">PROPER(TRIM('Raw_Data (Before)'!B169))</f>
        <v>Comfort Duru</v>
      </c>
      <c r="C169" s="7" t="str">
        <f aca="false">IFERROR(INDEX(Lookup_Tables!$B$5:$B$24,MATCH(UPPER(TRIM('Raw_Data (Before)'!C169)),Lookup_Tables!$A$5:$A$24,0)),"UNMAPPED")</f>
        <v>Sales</v>
      </c>
      <c r="D169" s="7" t="str">
        <f aca="false">IFERROR(INDEX(Lookup_Tables!$E$5:$E$8,MATCH(UPPER(TRIM('Raw_Data (Before)'!D169)),Lookup_Tables!$D$5:$D$8,0)),"UNMAPPED")</f>
        <v>Male</v>
      </c>
      <c r="E169" s="7" t="n">
        <f aca="false">'Raw_Data (Before)'!E169</f>
        <v>59</v>
      </c>
      <c r="F169" s="7" t="str">
        <f aca="false">IF(E169="","No",IF(OR(E169&lt;16,E169&gt;75),"No","Yes"))</f>
        <v>Yes</v>
      </c>
      <c r="G169" s="7" t="n">
        <f aca="false">IFERROR(VALUE(SUBSTITUTE(SUBSTITUTE('Raw_Data (Before)'!F169,"₦",""),",","")),"")</f>
        <v>491633</v>
      </c>
      <c r="H169" s="7" t="str">
        <f aca="false">IF(G169="","No",IF(OR(G169&lt;=0,G169&gt;5000000),"No","Yes"))</f>
        <v>Yes</v>
      </c>
      <c r="I169" s="8" t="str">
        <f aca="false">IFERROR(DATEVALUE('Raw_Data (Before)'!G169),"")</f>
        <v/>
      </c>
      <c r="J169" s="7" t="str">
        <f aca="false">IF(I169="","No","Yes")</f>
        <v>No</v>
      </c>
      <c r="K169" s="7" t="str">
        <f aca="false">IF(OR(ISERROR(FIND("@",'Raw_Data (Before)'!H169)),ISNUMBER(FIND("@@",'Raw_Data (Before)'!H169)),ISNUMBER(FIND(" ",'Raw_Data (Before)'!H169)),ISERROR(FIND(".",'Raw_Data (Before)'!H169,FIND("@",'Raw_Data (Before)'!H169)))),"No","Yes")</f>
        <v>Yes</v>
      </c>
      <c r="L169" s="7" t="str">
        <f aca="false">IFERROR(INDEX(Lookup_Tables!$H$5:$H$9,MATCH(UPPER(TRIM('Raw_Data (Before)'!I169)),Lookup_Tables!$G$5:$G$9,0)),"UNMAPPED")</f>
        <v>Active</v>
      </c>
      <c r="M169" s="7" t="str">
        <f aca="false">IF(COUNTIF('Raw_Data (Before)'!$A$5:$A$424,A169)&gt;1,"YES","No")</f>
        <v>YES</v>
      </c>
      <c r="N169" s="7" t="str">
        <f aca="false">IF(OR(C169="UNMAPPED",D169="UNMAPPED",F169="No",H169="No",J169="No",K169="No",L169="UNMAPPED",M169="YES"),"NEEDS REVIEW","OK")</f>
        <v>NEEDS REVIEW</v>
      </c>
    </row>
    <row r="170" customFormat="false" ht="15" hidden="false" customHeight="false" outlineLevel="0" collapsed="false">
      <c r="A170" s="7" t="str">
        <f aca="false">'Raw_Data (Before)'!A170</f>
        <v>EMP0272</v>
      </c>
      <c r="B170" s="7" t="str">
        <f aca="false">PROPER(TRIM('Raw_Data (Before)'!B170))</f>
        <v>Peter Ajayi</v>
      </c>
      <c r="C170" s="7" t="str">
        <f aca="false">IFERROR(INDEX(Lookup_Tables!$B$5:$B$24,MATCH(UPPER(TRIM('Raw_Data (Before)'!C170)),Lookup_Tables!$A$5:$A$24,0)),"UNMAPPED")</f>
        <v>Marketing</v>
      </c>
      <c r="D170" s="7" t="str">
        <f aca="false">IFERROR(INDEX(Lookup_Tables!$E$5:$E$8,MATCH(UPPER(TRIM('Raw_Data (Before)'!D170)),Lookup_Tables!$D$5:$D$8,0)),"UNMAPPED")</f>
        <v>Male</v>
      </c>
      <c r="E170" s="7" t="n">
        <f aca="false">'Raw_Data (Before)'!E170</f>
        <v>45</v>
      </c>
      <c r="F170" s="7" t="str">
        <f aca="false">IF(E170="","No",IF(OR(E170&lt;16,E170&gt;75),"No","Yes"))</f>
        <v>Yes</v>
      </c>
      <c r="G170" s="7" t="n">
        <f aca="false">IFERROR(VALUE(SUBSTITUTE(SUBSTITUTE('Raw_Data (Before)'!F170,"₦",""),",","")),"")</f>
        <v>722098</v>
      </c>
      <c r="H170" s="7" t="str">
        <f aca="false">IF(G170="","No",IF(OR(G170&lt;=0,G170&gt;5000000),"No","Yes"))</f>
        <v>Yes</v>
      </c>
      <c r="I170" s="8" t="str">
        <f aca="false">IFERROR(DATEVALUE('Raw_Data (Before)'!G170),"")</f>
        <v/>
      </c>
      <c r="J170" s="7" t="str">
        <f aca="false">IF(I170="","No","Yes")</f>
        <v>No</v>
      </c>
      <c r="K170" s="7" t="str">
        <f aca="false">IF(OR(ISERROR(FIND("@",'Raw_Data (Before)'!H170)),ISNUMBER(FIND("@@",'Raw_Data (Before)'!H170)),ISNUMBER(FIND(" ",'Raw_Data (Before)'!H170)),ISERROR(FIND(".",'Raw_Data (Before)'!H170,FIND("@",'Raw_Data (Before)'!H170)))),"No","Yes")</f>
        <v>Yes</v>
      </c>
      <c r="L170" s="7" t="str">
        <f aca="false">IFERROR(INDEX(Lookup_Tables!$H$5:$H$9,MATCH(UPPER(TRIM('Raw_Data (Before)'!I170)),Lookup_Tables!$G$5:$G$9,0)),"UNMAPPED")</f>
        <v>Inactive</v>
      </c>
      <c r="M170" s="7" t="str">
        <f aca="false">IF(COUNTIF('Raw_Data (Before)'!$A$5:$A$424,A170)&gt;1,"YES","No")</f>
        <v>No</v>
      </c>
      <c r="N170" s="7" t="str">
        <f aca="false">IF(OR(C170="UNMAPPED",D170="UNMAPPED",F170="No",H170="No",J170="No",K170="No",L170="UNMAPPED",M170="YES"),"NEEDS REVIEW","OK")</f>
        <v>NEEDS REVIEW</v>
      </c>
    </row>
    <row r="171" customFormat="false" ht="15" hidden="false" customHeight="false" outlineLevel="0" collapsed="false">
      <c r="A171" s="7" t="str">
        <f aca="false">'Raw_Data (Before)'!A171</f>
        <v>EMP0244</v>
      </c>
      <c r="B171" s="7" t="str">
        <f aca="false">PROPER(TRIM('Raw_Data (Before)'!B171))</f>
        <v>Gabriel Chukwu</v>
      </c>
      <c r="C171" s="7" t="str">
        <f aca="false">IFERROR(INDEX(Lookup_Tables!$B$5:$B$24,MATCH(UPPER(TRIM('Raw_Data (Before)'!C171)),Lookup_Tables!$A$5:$A$24,0)),"UNMAPPED")</f>
        <v>Sales</v>
      </c>
      <c r="D171" s="7" t="str">
        <f aca="false">IFERROR(INDEX(Lookup_Tables!$E$5:$E$8,MATCH(UPPER(TRIM('Raw_Data (Before)'!D171)),Lookup_Tables!$D$5:$D$8,0)),"UNMAPPED")</f>
        <v>Male</v>
      </c>
      <c r="E171" s="7" t="n">
        <f aca="false">'Raw_Data (Before)'!E171</f>
        <v>26</v>
      </c>
      <c r="F171" s="7" t="str">
        <f aca="false">IF(E171="","No",IF(OR(E171&lt;16,E171&gt;75),"No","Yes"))</f>
        <v>Yes</v>
      </c>
      <c r="G171" s="7" t="n">
        <f aca="false">IFERROR(VALUE(SUBSTITUTE(SUBSTITUTE('Raw_Data (Before)'!F171,"₦",""),",","")),"")</f>
        <v>291104</v>
      </c>
      <c r="H171" s="7" t="str">
        <f aca="false">IF(G171="","No",IF(OR(G171&lt;=0,G171&gt;5000000),"No","Yes"))</f>
        <v>Yes</v>
      </c>
      <c r="I171" s="8" t="n">
        <f aca="false">IFERROR(DATEVALUE('Raw_Data (Before)'!G171),"")</f>
        <v>45549</v>
      </c>
      <c r="J171" s="7" t="str">
        <f aca="false">IF(I171="","No","Yes")</f>
        <v>Yes</v>
      </c>
      <c r="K171" s="7" t="str">
        <f aca="false">IF(OR(ISERROR(FIND("@",'Raw_Data (Before)'!H171)),ISNUMBER(FIND("@@",'Raw_Data (Before)'!H171)),ISNUMBER(FIND(" ",'Raw_Data (Before)'!H171)),ISERROR(FIND(".",'Raw_Data (Before)'!H171,FIND("@",'Raw_Data (Before)'!H171)))),"No","Yes")</f>
        <v>Yes</v>
      </c>
      <c r="L171" s="7" t="str">
        <f aca="false">IFERROR(INDEX(Lookup_Tables!$H$5:$H$9,MATCH(UPPER(TRIM('Raw_Data (Before)'!I171)),Lookup_Tables!$G$5:$G$9,0)),"UNMAPPED")</f>
        <v>Active</v>
      </c>
      <c r="M171" s="7" t="str">
        <f aca="false">IF(COUNTIF('Raw_Data (Before)'!$A$5:$A$424,A171)&gt;1,"YES","No")</f>
        <v>No</v>
      </c>
      <c r="N171" s="7" t="str">
        <f aca="false">IF(OR(C171="UNMAPPED",D171="UNMAPPED",F171="No",H171="No",J171="No",K171="No",L171="UNMAPPED",M171="YES"),"NEEDS REVIEW","OK")</f>
        <v>OK</v>
      </c>
    </row>
    <row r="172" customFormat="false" ht="15" hidden="false" customHeight="false" outlineLevel="0" collapsed="false">
      <c r="A172" s="7" t="str">
        <f aca="false">'Raw_Data (Before)'!A172</f>
        <v>EMP0149</v>
      </c>
      <c r="B172" s="7" t="str">
        <f aca="false">PROPER(TRIM('Raw_Data (Before)'!B172))</f>
        <v>Hauwa Duru</v>
      </c>
      <c r="C172" s="7" t="str">
        <f aca="false">IFERROR(INDEX(Lookup_Tables!$B$5:$B$24,MATCH(UPPER(TRIM('Raw_Data (Before)'!C172)),Lookup_Tables!$A$5:$A$24,0)),"UNMAPPED")</f>
        <v>Finance</v>
      </c>
      <c r="D172" s="7" t="str">
        <f aca="false">IFERROR(INDEX(Lookup_Tables!$E$5:$E$8,MATCH(UPPER(TRIM('Raw_Data (Before)'!D172)),Lookup_Tables!$D$5:$D$8,0)),"UNMAPPED")</f>
        <v>Female</v>
      </c>
      <c r="E172" s="7" t="n">
        <f aca="false">'Raw_Data (Before)'!E172</f>
        <v>23</v>
      </c>
      <c r="F172" s="7" t="str">
        <f aca="false">IF(E172="","No",IF(OR(E172&lt;16,E172&gt;75),"No","Yes"))</f>
        <v>Yes</v>
      </c>
      <c r="G172" s="7" t="n">
        <f aca="false">IFERROR(VALUE(SUBSTITUTE(SUBSTITUTE('Raw_Data (Before)'!F172,"₦",""),",","")),"")</f>
        <v>116043</v>
      </c>
      <c r="H172" s="7" t="str">
        <f aca="false">IF(G172="","No",IF(OR(G172&lt;=0,G172&gt;5000000),"No","Yes"))</f>
        <v>Yes</v>
      </c>
      <c r="I172" s="8" t="n">
        <f aca="false">IFERROR(DATEVALUE('Raw_Data (Before)'!G172),"")</f>
        <v>45810</v>
      </c>
      <c r="J172" s="7" t="str">
        <f aca="false">IF(I172="","No","Yes")</f>
        <v>Yes</v>
      </c>
      <c r="K172" s="7" t="str">
        <f aca="false">IF(OR(ISERROR(FIND("@",'Raw_Data (Before)'!H172)),ISNUMBER(FIND("@@",'Raw_Data (Before)'!H172)),ISNUMBER(FIND(" ",'Raw_Data (Before)'!H172)),ISERROR(FIND(".",'Raw_Data (Before)'!H172,FIND("@",'Raw_Data (Before)'!H172)))),"No","Yes")</f>
        <v>Yes</v>
      </c>
      <c r="L172" s="7" t="str">
        <f aca="false">IFERROR(INDEX(Lookup_Tables!$H$5:$H$9,MATCH(UPPER(TRIM('Raw_Data (Before)'!I172)),Lookup_Tables!$G$5:$G$9,0)),"UNMAPPED")</f>
        <v>Active</v>
      </c>
      <c r="M172" s="7" t="str">
        <f aca="false">IF(COUNTIF('Raw_Data (Before)'!$A$5:$A$424,A172)&gt;1,"YES","No")</f>
        <v>YES</v>
      </c>
      <c r="N172" s="7" t="str">
        <f aca="false">IF(OR(C172="UNMAPPED",D172="UNMAPPED",F172="No",H172="No",J172="No",K172="No",L172="UNMAPPED",M172="YES"),"NEEDS REVIEW","OK")</f>
        <v>NEEDS REVIEW</v>
      </c>
    </row>
    <row r="173" customFormat="false" ht="15" hidden="false" customHeight="false" outlineLevel="0" collapsed="false">
      <c r="A173" s="7" t="str">
        <f aca="false">'Raw_Data (Before)'!A173</f>
        <v>EMP0059</v>
      </c>
      <c r="B173" s="7" t="str">
        <f aca="false">PROPER(TRIM('Raw_Data (Before)'!B173))</f>
        <v>Chidi Chukwu</v>
      </c>
      <c r="C173" s="7" t="str">
        <f aca="false">IFERROR(INDEX(Lookup_Tables!$B$5:$B$24,MATCH(UPPER(TRIM('Raw_Data (Before)'!C173)),Lookup_Tables!$A$5:$A$24,0)),"UNMAPPED")</f>
        <v>Operations</v>
      </c>
      <c r="D173" s="7" t="str">
        <f aca="false">IFERROR(INDEX(Lookup_Tables!$E$5:$E$8,MATCH(UPPER(TRIM('Raw_Data (Before)'!D173)),Lookup_Tables!$D$5:$D$8,0)),"UNMAPPED")</f>
        <v>Male</v>
      </c>
      <c r="E173" s="7" t="n">
        <f aca="false">'Raw_Data (Before)'!E173</f>
        <v>-5</v>
      </c>
      <c r="F173" s="7" t="str">
        <f aca="false">IF(E173="","No",IF(OR(E173&lt;16,E173&gt;75),"No","Yes"))</f>
        <v>No</v>
      </c>
      <c r="G173" s="7" t="n">
        <f aca="false">IFERROR(VALUE(SUBSTITUTE(SUBSTITUTE('Raw_Data (Before)'!F173,"₦",""),",","")),"")</f>
        <v>105434</v>
      </c>
      <c r="H173" s="7" t="str">
        <f aca="false">IF(G173="","No",IF(OR(G173&lt;=0,G173&gt;5000000),"No","Yes"))</f>
        <v>Yes</v>
      </c>
      <c r="I173" s="8" t="n">
        <f aca="false">IFERROR(DATEVALUE('Raw_Data (Before)'!G173),"")</f>
        <v>44229</v>
      </c>
      <c r="J173" s="7" t="str">
        <f aca="false">IF(I173="","No","Yes")</f>
        <v>Yes</v>
      </c>
      <c r="K173" s="7" t="str">
        <f aca="false">IF(OR(ISERROR(FIND("@",'Raw_Data (Before)'!H173)),ISNUMBER(FIND("@@",'Raw_Data (Before)'!H173)),ISNUMBER(FIND(" ",'Raw_Data (Before)'!H173)),ISERROR(FIND(".",'Raw_Data (Before)'!H173,FIND("@",'Raw_Data (Before)'!H173)))),"No","Yes")</f>
        <v>Yes</v>
      </c>
      <c r="L173" s="7" t="str">
        <f aca="false">IFERROR(INDEX(Lookup_Tables!$H$5:$H$9,MATCH(UPPER(TRIM('Raw_Data (Before)'!I173)),Lookup_Tables!$G$5:$G$9,0)),"UNMAPPED")</f>
        <v>Active</v>
      </c>
      <c r="M173" s="7" t="str">
        <f aca="false">IF(COUNTIF('Raw_Data (Before)'!$A$5:$A$424,A173)&gt;1,"YES","No")</f>
        <v>YES</v>
      </c>
      <c r="N173" s="7" t="str">
        <f aca="false">IF(OR(C173="UNMAPPED",D173="UNMAPPED",F173="No",H173="No",J173="No",K173="No",L173="UNMAPPED",M173="YES"),"NEEDS REVIEW","OK")</f>
        <v>NEEDS REVIEW</v>
      </c>
    </row>
    <row r="174" customFormat="false" ht="15" hidden="false" customHeight="false" outlineLevel="0" collapsed="false">
      <c r="A174" s="7" t="str">
        <f aca="false">'Raw_Data (Before)'!A174</f>
        <v>EMP0153</v>
      </c>
      <c r="B174" s="7" t="str">
        <f aca="false">PROPER(TRIM('Raw_Data (Before)'!B174))</f>
        <v>Musa Nnamdi</v>
      </c>
      <c r="C174" s="7" t="str">
        <f aca="false">IFERROR(INDEX(Lookup_Tables!$B$5:$B$24,MATCH(UPPER(TRIM('Raw_Data (Before)'!C174)),Lookup_Tables!$A$5:$A$24,0)),"UNMAPPED")</f>
        <v>IT</v>
      </c>
      <c r="D174" s="7" t="str">
        <f aca="false">IFERROR(INDEX(Lookup_Tables!$E$5:$E$8,MATCH(UPPER(TRIM('Raw_Data (Before)'!D174)),Lookup_Tables!$D$5:$D$8,0)),"UNMAPPED")</f>
        <v>Female</v>
      </c>
      <c r="E174" s="7" t="n">
        <f aca="false">'Raw_Data (Before)'!E174</f>
        <v>52</v>
      </c>
      <c r="F174" s="7" t="str">
        <f aca="false">IF(E174="","No",IF(OR(E174&lt;16,E174&gt;75),"No","Yes"))</f>
        <v>Yes</v>
      </c>
      <c r="G174" s="7" t="n">
        <f aca="false">IFERROR(VALUE(SUBSTITUTE(SUBSTITUTE('Raw_Data (Before)'!F174,"₦",""),",","")),"")</f>
        <v>363039</v>
      </c>
      <c r="H174" s="7" t="str">
        <f aca="false">IF(G174="","No",IF(OR(G174&lt;=0,G174&gt;5000000),"No","Yes"))</f>
        <v>Yes</v>
      </c>
      <c r="I174" s="8" t="n">
        <f aca="false">IFERROR(DATEVALUE('Raw_Data (Before)'!G174),"")</f>
        <v>44078</v>
      </c>
      <c r="J174" s="7" t="str">
        <f aca="false">IF(I174="","No","Yes")</f>
        <v>Yes</v>
      </c>
      <c r="K174" s="7" t="str">
        <f aca="false">IF(OR(ISERROR(FIND("@",'Raw_Data (Before)'!H174)),ISNUMBER(FIND("@@",'Raw_Data (Before)'!H174)),ISNUMBER(FIND(" ",'Raw_Data (Before)'!H174)),ISERROR(FIND(".",'Raw_Data (Before)'!H174,FIND("@",'Raw_Data (Before)'!H174)))),"No","Yes")</f>
        <v>Yes</v>
      </c>
      <c r="L174" s="7" t="str">
        <f aca="false">IFERROR(INDEX(Lookup_Tables!$H$5:$H$9,MATCH(UPPER(TRIM('Raw_Data (Before)'!I174)),Lookup_Tables!$G$5:$G$9,0)),"UNMAPPED")</f>
        <v>Inactive</v>
      </c>
      <c r="M174" s="7" t="str">
        <f aca="false">IF(COUNTIF('Raw_Data (Before)'!$A$5:$A$424,A174)&gt;1,"YES","No")</f>
        <v>No</v>
      </c>
      <c r="N174" s="7" t="str">
        <f aca="false">IF(OR(C174="UNMAPPED",D174="UNMAPPED",F174="No",H174="No",J174="No",K174="No",L174="UNMAPPED",M174="YES"),"NEEDS REVIEW","OK")</f>
        <v>OK</v>
      </c>
    </row>
    <row r="175" customFormat="false" ht="15" hidden="false" customHeight="false" outlineLevel="0" collapsed="false">
      <c r="A175" s="7" t="str">
        <f aca="false">'Raw_Data (Before)'!A175</f>
        <v>EMP0162</v>
      </c>
      <c r="B175" s="7" t="str">
        <f aca="false">PROPER(TRIM('Raw_Data (Before)'!B175))</f>
        <v>Hauwa Obi</v>
      </c>
      <c r="C175" s="7" t="str">
        <f aca="false">IFERROR(INDEX(Lookup_Tables!$B$5:$B$24,MATCH(UPPER(TRIM('Raw_Data (Before)'!C175)),Lookup_Tables!$A$5:$A$24,0)),"UNMAPPED")</f>
        <v>Sales</v>
      </c>
      <c r="D175" s="7" t="str">
        <f aca="false">IFERROR(INDEX(Lookup_Tables!$E$5:$E$8,MATCH(UPPER(TRIM('Raw_Data (Before)'!D175)),Lookup_Tables!$D$5:$D$8,0)),"UNMAPPED")</f>
        <v>Female</v>
      </c>
      <c r="E175" s="7" t="n">
        <f aca="false">'Raw_Data (Before)'!E175</f>
        <v>53</v>
      </c>
      <c r="F175" s="7" t="str">
        <f aca="false">IF(E175="","No",IF(OR(E175&lt;16,E175&gt;75),"No","Yes"))</f>
        <v>Yes</v>
      </c>
      <c r="G175" s="7" t="n">
        <f aca="false">IFERROR(VALUE(SUBSTITUTE(SUBSTITUTE('Raw_Data (Before)'!F175,"₦",""),",","")),"")</f>
        <v>297888</v>
      </c>
      <c r="H175" s="7" t="str">
        <f aca="false">IF(G175="","No",IF(OR(G175&lt;=0,G175&gt;5000000),"No","Yes"))</f>
        <v>Yes</v>
      </c>
      <c r="I175" s="8" t="str">
        <f aca="false">IFERROR(DATEVALUE('Raw_Data (Before)'!G175),"")</f>
        <v/>
      </c>
      <c r="J175" s="7" t="str">
        <f aca="false">IF(I175="","No","Yes")</f>
        <v>No</v>
      </c>
      <c r="K175" s="7" t="str">
        <f aca="false">IF(OR(ISERROR(FIND("@",'Raw_Data (Before)'!H175)),ISNUMBER(FIND("@@",'Raw_Data (Before)'!H175)),ISNUMBER(FIND(" ",'Raw_Data (Before)'!H175)),ISERROR(FIND(".",'Raw_Data (Before)'!H175,FIND("@",'Raw_Data (Before)'!H175)))),"No","Yes")</f>
        <v>Yes</v>
      </c>
      <c r="L175" s="7" t="str">
        <f aca="false">IFERROR(INDEX(Lookup_Tables!$H$5:$H$9,MATCH(UPPER(TRIM('Raw_Data (Before)'!I175)),Lookup_Tables!$G$5:$G$9,0)),"UNMAPPED")</f>
        <v>Inactive</v>
      </c>
      <c r="M175" s="7" t="str">
        <f aca="false">IF(COUNTIF('Raw_Data (Before)'!$A$5:$A$424,A175)&gt;1,"YES","No")</f>
        <v>No</v>
      </c>
      <c r="N175" s="7" t="str">
        <f aca="false">IF(OR(C175="UNMAPPED",D175="UNMAPPED",F175="No",H175="No",J175="No",K175="No",L175="UNMAPPED",M175="YES"),"NEEDS REVIEW","OK")</f>
        <v>NEEDS REVIEW</v>
      </c>
    </row>
    <row r="176" customFormat="false" ht="15" hidden="false" customHeight="false" outlineLevel="0" collapsed="false">
      <c r="A176" s="7" t="str">
        <f aca="false">'Raw_Data (Before)'!A176</f>
        <v>EMP0268</v>
      </c>
      <c r="B176" s="7" t="str">
        <f aca="false">PROPER(TRIM('Raw_Data (Before)'!B176))</f>
        <v>Aisha Okafor</v>
      </c>
      <c r="C176" s="7" t="str">
        <f aca="false">IFERROR(INDEX(Lookup_Tables!$B$5:$B$24,MATCH(UPPER(TRIM('Raw_Data (Before)'!C176)),Lookup_Tables!$A$5:$A$24,0)),"UNMAPPED")</f>
        <v>Operations</v>
      </c>
      <c r="D176" s="7" t="str">
        <f aca="false">IFERROR(INDEX(Lookup_Tables!$E$5:$E$8,MATCH(UPPER(TRIM('Raw_Data (Before)'!D176)),Lookup_Tables!$D$5:$D$8,0)),"UNMAPPED")</f>
        <v>Female</v>
      </c>
      <c r="E176" s="7" t="n">
        <f aca="false">'Raw_Data (Before)'!E176</f>
        <v>21</v>
      </c>
      <c r="F176" s="7" t="str">
        <f aca="false">IF(E176="","No",IF(OR(E176&lt;16,E176&gt;75),"No","Yes"))</f>
        <v>Yes</v>
      </c>
      <c r="G176" s="7" t="n">
        <f aca="false">IFERROR(VALUE(SUBSTITUTE(SUBSTITUTE('Raw_Data (Before)'!F176,"₦",""),",","")),"")</f>
        <v>123337</v>
      </c>
      <c r="H176" s="7" t="str">
        <f aca="false">IF(G176="","No",IF(OR(G176&lt;=0,G176&gt;5000000),"No","Yes"))</f>
        <v>Yes</v>
      </c>
      <c r="I176" s="8" t="str">
        <f aca="false">IFERROR(DATEVALUE('Raw_Data (Before)'!G176),"")</f>
        <v/>
      </c>
      <c r="J176" s="7" t="str">
        <f aca="false">IF(I176="","No","Yes")</f>
        <v>No</v>
      </c>
      <c r="K176" s="7" t="str">
        <f aca="false">IF(OR(ISERROR(FIND("@",'Raw_Data (Before)'!H176)),ISNUMBER(FIND("@@",'Raw_Data (Before)'!H176)),ISNUMBER(FIND(" ",'Raw_Data (Before)'!H176)),ISERROR(FIND(".",'Raw_Data (Before)'!H176,FIND("@",'Raw_Data (Before)'!H176)))),"No","Yes")</f>
        <v>Yes</v>
      </c>
      <c r="L176" s="7" t="str">
        <f aca="false">IFERROR(INDEX(Lookup_Tables!$H$5:$H$9,MATCH(UPPER(TRIM('Raw_Data (Before)'!I176)),Lookup_Tables!$G$5:$G$9,0)),"UNMAPPED")</f>
        <v>Active</v>
      </c>
      <c r="M176" s="7" t="str">
        <f aca="false">IF(COUNTIF('Raw_Data (Before)'!$A$5:$A$424,A176)&gt;1,"YES","No")</f>
        <v>No</v>
      </c>
      <c r="N176" s="7" t="str">
        <f aca="false">IF(OR(C176="UNMAPPED",D176="UNMAPPED",F176="No",H176="No",J176="No",K176="No",L176="UNMAPPED",M176="YES"),"NEEDS REVIEW","OK")</f>
        <v>NEEDS REVIEW</v>
      </c>
    </row>
    <row r="177" customFormat="false" ht="15" hidden="false" customHeight="false" outlineLevel="0" collapsed="false">
      <c r="A177" s="7" t="str">
        <f aca="false">'Raw_Data (Before)'!A177</f>
        <v>EMP0247</v>
      </c>
      <c r="B177" s="7" t="str">
        <f aca="false">PROPER(TRIM('Raw_Data (Before)'!B177))</f>
        <v>Fatima Balogun</v>
      </c>
      <c r="C177" s="7" t="str">
        <f aca="false">IFERROR(INDEX(Lookup_Tables!$B$5:$B$24,MATCH(UPPER(TRIM('Raw_Data (Before)'!C177)),Lookup_Tables!$A$5:$A$24,0)),"UNMAPPED")</f>
        <v>IT</v>
      </c>
      <c r="D177" s="7" t="str">
        <f aca="false">IFERROR(INDEX(Lookup_Tables!$E$5:$E$8,MATCH(UPPER(TRIM('Raw_Data (Before)'!D177)),Lookup_Tables!$D$5:$D$8,0)),"UNMAPPED")</f>
        <v>Male</v>
      </c>
      <c r="E177" s="7" t="n">
        <f aca="false">'Raw_Data (Before)'!E177</f>
        <v>26</v>
      </c>
      <c r="F177" s="7" t="str">
        <f aca="false">IF(E177="","No",IF(OR(E177&lt;16,E177&gt;75),"No","Yes"))</f>
        <v>Yes</v>
      </c>
      <c r="G177" s="7" t="n">
        <f aca="false">IFERROR(VALUE(SUBSTITUTE(SUBSTITUTE('Raw_Data (Before)'!F177,"₦",""),",","")),"")</f>
        <v>427740</v>
      </c>
      <c r="H177" s="7" t="str">
        <f aca="false">IF(G177="","No",IF(OR(G177&lt;=0,G177&gt;5000000),"No","Yes"))</f>
        <v>Yes</v>
      </c>
      <c r="I177" s="8" t="n">
        <f aca="false">IFERROR(DATEVALUE('Raw_Data (Before)'!G177),"")</f>
        <v>44896</v>
      </c>
      <c r="J177" s="7" t="str">
        <f aca="false">IF(I177="","No","Yes")</f>
        <v>Yes</v>
      </c>
      <c r="K177" s="7" t="str">
        <f aca="false">IF(OR(ISERROR(FIND("@",'Raw_Data (Before)'!H177)),ISNUMBER(FIND("@@",'Raw_Data (Before)'!H177)),ISNUMBER(FIND(" ",'Raw_Data (Before)'!H177)),ISERROR(FIND(".",'Raw_Data (Before)'!H177,FIND("@",'Raw_Data (Before)'!H177)))),"No","Yes")</f>
        <v>Yes</v>
      </c>
      <c r="L177" s="7" t="str">
        <f aca="false">IFERROR(INDEX(Lookup_Tables!$H$5:$H$9,MATCH(UPPER(TRIM('Raw_Data (Before)'!I177)),Lookup_Tables!$G$5:$G$9,0)),"UNMAPPED")</f>
        <v>Active</v>
      </c>
      <c r="M177" s="7" t="str">
        <f aca="false">IF(COUNTIF('Raw_Data (Before)'!$A$5:$A$424,A177)&gt;1,"YES","No")</f>
        <v>No</v>
      </c>
      <c r="N177" s="7" t="str">
        <f aca="false">IF(OR(C177="UNMAPPED",D177="UNMAPPED",F177="No",H177="No",J177="No",K177="No",L177="UNMAPPED",M177="YES"),"NEEDS REVIEW","OK")</f>
        <v>OK</v>
      </c>
    </row>
    <row r="178" customFormat="false" ht="15" hidden="false" customHeight="false" outlineLevel="0" collapsed="false">
      <c r="A178" s="7" t="str">
        <f aca="false">'Raw_Data (Before)'!A178</f>
        <v>EMP0201</v>
      </c>
      <c r="B178" s="7" t="str">
        <f aca="false">PROPER(TRIM('Raw_Data (Before)'!B178))</f>
        <v>Chidi Uche</v>
      </c>
      <c r="C178" s="7" t="str">
        <f aca="false">IFERROR(INDEX(Lookup_Tables!$B$5:$B$24,MATCH(UPPER(TRIM('Raw_Data (Before)'!C178)),Lookup_Tables!$A$5:$A$24,0)),"UNMAPPED")</f>
        <v>HR</v>
      </c>
      <c r="D178" s="7" t="str">
        <f aca="false">IFERROR(INDEX(Lookup_Tables!$E$5:$E$8,MATCH(UPPER(TRIM('Raw_Data (Before)'!D178)),Lookup_Tables!$D$5:$D$8,0)),"UNMAPPED")</f>
        <v>Female</v>
      </c>
      <c r="E178" s="7" t="n">
        <f aca="false">'Raw_Data (Before)'!E178</f>
        <v>999</v>
      </c>
      <c r="F178" s="7" t="str">
        <f aca="false">IF(E178="","No",IF(OR(E178&lt;16,E178&gt;75),"No","Yes"))</f>
        <v>No</v>
      </c>
      <c r="G178" s="7" t="str">
        <f aca="false">IFERROR(VALUE(SUBSTITUTE(SUBSTITUTE('Raw_Data (Before)'!F178,"₦",""),",","")),"")</f>
        <v/>
      </c>
      <c r="H178" s="7" t="str">
        <f aca="false">IF(G178="","No",IF(OR(G178&lt;=0,G178&gt;5000000),"No","Yes"))</f>
        <v>No</v>
      </c>
      <c r="I178" s="8" t="str">
        <f aca="false">IFERROR(DATEVALUE('Raw_Data (Before)'!G178),"")</f>
        <v/>
      </c>
      <c r="J178" s="7" t="str">
        <f aca="false">IF(I178="","No","Yes")</f>
        <v>No</v>
      </c>
      <c r="K178" s="7" t="str">
        <f aca="false">IF(OR(ISERROR(FIND("@",'Raw_Data (Before)'!H178)),ISNUMBER(FIND("@@",'Raw_Data (Before)'!H178)),ISNUMBER(FIND(" ",'Raw_Data (Before)'!H178)),ISERROR(FIND(".",'Raw_Data (Before)'!H178,FIND("@",'Raw_Data (Before)'!H178)))),"No","Yes")</f>
        <v>Yes</v>
      </c>
      <c r="L178" s="7" t="str">
        <f aca="false">IFERROR(INDEX(Lookup_Tables!$H$5:$H$9,MATCH(UPPER(TRIM('Raw_Data (Before)'!I178)),Lookup_Tables!$G$5:$G$9,0)),"UNMAPPED")</f>
        <v>Active</v>
      </c>
      <c r="M178" s="7" t="str">
        <f aca="false">IF(COUNTIF('Raw_Data (Before)'!$A$5:$A$424,A178)&gt;1,"YES","No")</f>
        <v>No</v>
      </c>
      <c r="N178" s="7" t="str">
        <f aca="false">IF(OR(C178="UNMAPPED",D178="UNMAPPED",F178="No",H178="No",J178="No",K178="No",L178="UNMAPPED",M178="YES"),"NEEDS REVIEW","OK")</f>
        <v>NEEDS REVIEW</v>
      </c>
    </row>
    <row r="179" customFormat="false" ht="15" hidden="false" customHeight="false" outlineLevel="0" collapsed="false">
      <c r="A179" s="7" t="str">
        <f aca="false">'Raw_Data (Before)'!A179</f>
        <v>EMP0305</v>
      </c>
      <c r="B179" s="7" t="str">
        <f aca="false">PROPER(TRIM('Raw_Data (Before)'!B179))</f>
        <v>Esther Lawal</v>
      </c>
      <c r="C179" s="7" t="str">
        <f aca="false">IFERROR(INDEX(Lookup_Tables!$B$5:$B$24,MATCH(UPPER(TRIM('Raw_Data (Before)'!C179)),Lookup_Tables!$A$5:$A$24,0)),"UNMAPPED")</f>
        <v>Sales</v>
      </c>
      <c r="D179" s="7" t="str">
        <f aca="false">IFERROR(INDEX(Lookup_Tables!$E$5:$E$8,MATCH(UPPER(TRIM('Raw_Data (Before)'!D179)),Lookup_Tables!$D$5:$D$8,0)),"UNMAPPED")</f>
        <v>Male</v>
      </c>
      <c r="E179" s="7" t="n">
        <f aca="false">'Raw_Data (Before)'!E179</f>
        <v>37</v>
      </c>
      <c r="F179" s="7" t="str">
        <f aca="false">IF(E179="","No",IF(OR(E179&lt;16,E179&gt;75),"No","Yes"))</f>
        <v>Yes</v>
      </c>
      <c r="G179" s="7" t="n">
        <f aca="false">IFERROR(VALUE(SUBSTITUTE(SUBSTITUTE('Raw_Data (Before)'!F179,"₦",""),",","")),"")</f>
        <v>571235</v>
      </c>
      <c r="H179" s="7" t="str">
        <f aca="false">IF(G179="","No",IF(OR(G179&lt;=0,G179&gt;5000000),"No","Yes"))</f>
        <v>Yes</v>
      </c>
      <c r="I179" s="8" t="str">
        <f aca="false">IFERROR(DATEVALUE('Raw_Data (Before)'!G179),"")</f>
        <v/>
      </c>
      <c r="J179" s="7" t="str">
        <f aca="false">IF(I179="","No","Yes")</f>
        <v>No</v>
      </c>
      <c r="K179" s="7" t="str">
        <f aca="false">IF(OR(ISERROR(FIND("@",'Raw_Data (Before)'!H179)),ISNUMBER(FIND("@@",'Raw_Data (Before)'!H179)),ISNUMBER(FIND(" ",'Raw_Data (Before)'!H179)),ISERROR(FIND(".",'Raw_Data (Before)'!H179,FIND("@",'Raw_Data (Before)'!H179)))),"No","Yes")</f>
        <v>Yes</v>
      </c>
      <c r="L179" s="7" t="str">
        <f aca="false">IFERROR(INDEX(Lookup_Tables!$H$5:$H$9,MATCH(UPPER(TRIM('Raw_Data (Before)'!I179)),Lookup_Tables!$G$5:$G$9,0)),"UNMAPPED")</f>
        <v>Active</v>
      </c>
      <c r="M179" s="7" t="str">
        <f aca="false">IF(COUNTIF('Raw_Data (Before)'!$A$5:$A$424,A179)&gt;1,"YES","No")</f>
        <v>No</v>
      </c>
      <c r="N179" s="7" t="str">
        <f aca="false">IF(OR(C179="UNMAPPED",D179="UNMAPPED",F179="No",H179="No",J179="No",K179="No",L179="UNMAPPED",M179="YES"),"NEEDS REVIEW","OK")</f>
        <v>NEEDS REVIEW</v>
      </c>
    </row>
    <row r="180" customFormat="false" ht="15" hidden="false" customHeight="false" outlineLevel="0" collapsed="false">
      <c r="A180" s="7" t="str">
        <f aca="false">'Raw_Data (Before)'!A180</f>
        <v>EMP0027</v>
      </c>
      <c r="B180" s="7" t="str">
        <f aca="false">PROPER(TRIM('Raw_Data (Before)'!B180))</f>
        <v>David Okafor</v>
      </c>
      <c r="C180" s="7" t="str">
        <f aca="false">IFERROR(INDEX(Lookup_Tables!$B$5:$B$24,MATCH(UPPER(TRIM('Raw_Data (Before)'!C180)),Lookup_Tables!$A$5:$A$24,0)),"UNMAPPED")</f>
        <v>Operations</v>
      </c>
      <c r="D180" s="7" t="str">
        <f aca="false">IFERROR(INDEX(Lookup_Tables!$E$5:$E$8,MATCH(UPPER(TRIM('Raw_Data (Before)'!D180)),Lookup_Tables!$D$5:$D$8,0)),"UNMAPPED")</f>
        <v>Female</v>
      </c>
      <c r="E180" s="7" t="n">
        <f aca="false">'Raw_Data (Before)'!E180</f>
        <v>54</v>
      </c>
      <c r="F180" s="7" t="str">
        <f aca="false">IF(E180="","No",IF(OR(E180&lt;16,E180&gt;75),"No","Yes"))</f>
        <v>Yes</v>
      </c>
      <c r="G180" s="7" t="n">
        <f aca="false">IFERROR(VALUE(SUBSTITUTE(SUBSTITUTE('Raw_Data (Before)'!F180,"₦",""),",","")),"")</f>
        <v>824003</v>
      </c>
      <c r="H180" s="7" t="str">
        <f aca="false">IF(G180="","No",IF(OR(G180&lt;=0,G180&gt;5000000),"No","Yes"))</f>
        <v>Yes</v>
      </c>
      <c r="I180" s="8" t="n">
        <f aca="false">IFERROR(DATEVALUE('Raw_Data (Before)'!G180),"")</f>
        <v>44198</v>
      </c>
      <c r="J180" s="7" t="str">
        <f aca="false">IF(I180="","No","Yes")</f>
        <v>Yes</v>
      </c>
      <c r="K180" s="7" t="str">
        <f aca="false">IF(OR(ISERROR(FIND("@",'Raw_Data (Before)'!H180)),ISNUMBER(FIND("@@",'Raw_Data (Before)'!H180)),ISNUMBER(FIND(" ",'Raw_Data (Before)'!H180)),ISERROR(FIND(".",'Raw_Data (Before)'!H180,FIND("@",'Raw_Data (Before)'!H180)))),"No","Yes")</f>
        <v>Yes</v>
      </c>
      <c r="L180" s="7" t="str">
        <f aca="false">IFERROR(INDEX(Lookup_Tables!$H$5:$H$9,MATCH(UPPER(TRIM('Raw_Data (Before)'!I180)),Lookup_Tables!$G$5:$G$9,0)),"UNMAPPED")</f>
        <v>Active</v>
      </c>
      <c r="M180" s="7" t="str">
        <f aca="false">IF(COUNTIF('Raw_Data (Before)'!$A$5:$A$424,A180)&gt;1,"YES","No")</f>
        <v>No</v>
      </c>
      <c r="N180" s="7" t="str">
        <f aca="false">IF(OR(C180="UNMAPPED",D180="UNMAPPED",F180="No",H180="No",J180="No",K180="No",L180="UNMAPPED",M180="YES"),"NEEDS REVIEW","OK")</f>
        <v>OK</v>
      </c>
    </row>
    <row r="181" customFormat="false" ht="15" hidden="false" customHeight="false" outlineLevel="0" collapsed="false">
      <c r="A181" s="7" t="str">
        <f aca="false">'Raw_Data (Before)'!A181</f>
        <v>EMP0146</v>
      </c>
      <c r="B181" s="7" t="str">
        <f aca="false">PROPER(TRIM('Raw_Data (Before)'!B181))</f>
        <v>Hauwa Sani</v>
      </c>
      <c r="C181" s="7" t="str">
        <f aca="false">IFERROR(INDEX(Lookup_Tables!$B$5:$B$24,MATCH(UPPER(TRIM('Raw_Data (Before)'!C181)),Lookup_Tables!$A$5:$A$24,0)),"UNMAPPED")</f>
        <v>Sales</v>
      </c>
      <c r="D181" s="7" t="str">
        <f aca="false">IFERROR(INDEX(Lookup_Tables!$E$5:$E$8,MATCH(UPPER(TRIM('Raw_Data (Before)'!D181)),Lookup_Tables!$D$5:$D$8,0)),"UNMAPPED")</f>
        <v>Male</v>
      </c>
      <c r="E181" s="7" t="n">
        <f aca="false">'Raw_Data (Before)'!E181</f>
        <v>30</v>
      </c>
      <c r="F181" s="7" t="str">
        <f aca="false">IF(E181="","No",IF(OR(E181&lt;16,E181&gt;75),"No","Yes"))</f>
        <v>Yes</v>
      </c>
      <c r="G181" s="7" t="n">
        <f aca="false">IFERROR(VALUE(SUBSTITUTE(SUBSTITUTE('Raw_Data (Before)'!F181,"₦",""),",","")),"")</f>
        <v>781262</v>
      </c>
      <c r="H181" s="7" t="str">
        <f aca="false">IF(G181="","No",IF(OR(G181&lt;=0,G181&gt;5000000),"No","Yes"))</f>
        <v>Yes</v>
      </c>
      <c r="I181" s="8" t="str">
        <f aca="false">IFERROR(DATEVALUE('Raw_Data (Before)'!G181),"")</f>
        <v/>
      </c>
      <c r="J181" s="7" t="str">
        <f aca="false">IF(I181="","No","Yes")</f>
        <v>No</v>
      </c>
      <c r="K181" s="7" t="str">
        <f aca="false">IF(OR(ISERROR(FIND("@",'Raw_Data (Before)'!H181)),ISNUMBER(FIND("@@",'Raw_Data (Before)'!H181)),ISNUMBER(FIND(" ",'Raw_Data (Before)'!H181)),ISERROR(FIND(".",'Raw_Data (Before)'!H181,FIND("@",'Raw_Data (Before)'!H181)))),"No","Yes")</f>
        <v>Yes</v>
      </c>
      <c r="L181" s="7" t="str">
        <f aca="false">IFERROR(INDEX(Lookup_Tables!$H$5:$H$9,MATCH(UPPER(TRIM('Raw_Data (Before)'!I181)),Lookup_Tables!$G$5:$G$9,0)),"UNMAPPED")</f>
        <v>Inactive</v>
      </c>
      <c r="M181" s="7" t="str">
        <f aca="false">IF(COUNTIF('Raw_Data (Before)'!$A$5:$A$424,A181)&gt;1,"YES","No")</f>
        <v>YES</v>
      </c>
      <c r="N181" s="7" t="str">
        <f aca="false">IF(OR(C181="UNMAPPED",D181="UNMAPPED",F181="No",H181="No",J181="No",K181="No",L181="UNMAPPED",M181="YES"),"NEEDS REVIEW","OK")</f>
        <v>NEEDS REVIEW</v>
      </c>
    </row>
    <row r="182" customFormat="false" ht="15" hidden="false" customHeight="false" outlineLevel="0" collapsed="false">
      <c r="A182" s="7" t="str">
        <f aca="false">'Raw_Data (Before)'!A182</f>
        <v>EMP0186</v>
      </c>
      <c r="B182" s="7" t="str">
        <f aca="false">PROPER(TRIM('Raw_Data (Before)'!B182))</f>
        <v>Amaka Eze</v>
      </c>
      <c r="C182" s="7" t="str">
        <f aca="false">IFERROR(INDEX(Lookup_Tables!$B$5:$B$24,MATCH(UPPER(TRIM('Raw_Data (Before)'!C182)),Lookup_Tables!$A$5:$A$24,0)),"UNMAPPED")</f>
        <v>Marketing</v>
      </c>
      <c r="D182" s="7" t="str">
        <f aca="false">IFERROR(INDEX(Lookup_Tables!$E$5:$E$8,MATCH(UPPER(TRIM('Raw_Data (Before)'!D182)),Lookup_Tables!$D$5:$D$8,0)),"UNMAPPED")</f>
        <v>Female</v>
      </c>
      <c r="E182" s="7" t="n">
        <f aca="false">'Raw_Data (Before)'!E182</f>
        <v>56</v>
      </c>
      <c r="F182" s="7" t="str">
        <f aca="false">IF(E182="","No",IF(OR(E182&lt;16,E182&gt;75),"No","Yes"))</f>
        <v>Yes</v>
      </c>
      <c r="G182" s="7" t="n">
        <f aca="false">IFERROR(VALUE(SUBSTITUTE(SUBSTITUTE('Raw_Data (Before)'!F182,"₦",""),",","")),"")</f>
        <v>467213</v>
      </c>
      <c r="H182" s="7" t="str">
        <f aca="false">IF(G182="","No",IF(OR(G182&lt;=0,G182&gt;5000000),"No","Yes"))</f>
        <v>Yes</v>
      </c>
      <c r="I182" s="8" t="n">
        <f aca="false">IFERROR(DATEVALUE('Raw_Data (Before)'!G182),"")</f>
        <v>44294</v>
      </c>
      <c r="J182" s="7" t="str">
        <f aca="false">IF(I182="","No","Yes")</f>
        <v>Yes</v>
      </c>
      <c r="K182" s="7" t="str">
        <f aca="false">IF(OR(ISERROR(FIND("@",'Raw_Data (Before)'!H182)),ISNUMBER(FIND("@@",'Raw_Data (Before)'!H182)),ISNUMBER(FIND(" ",'Raw_Data (Before)'!H182)),ISERROR(FIND(".",'Raw_Data (Before)'!H182,FIND("@",'Raw_Data (Before)'!H182)))),"No","Yes")</f>
        <v>Yes</v>
      </c>
      <c r="L182" s="7" t="str">
        <f aca="false">IFERROR(INDEX(Lookup_Tables!$H$5:$H$9,MATCH(UPPER(TRIM('Raw_Data (Before)'!I182)),Lookup_Tables!$G$5:$G$9,0)),"UNMAPPED")</f>
        <v>Active</v>
      </c>
      <c r="M182" s="7" t="str">
        <f aca="false">IF(COUNTIF('Raw_Data (Before)'!$A$5:$A$424,A182)&gt;1,"YES","No")</f>
        <v>No</v>
      </c>
      <c r="N182" s="7" t="str">
        <f aca="false">IF(OR(C182="UNMAPPED",D182="UNMAPPED",F182="No",H182="No",J182="No",K182="No",L182="UNMAPPED",M182="YES"),"NEEDS REVIEW","OK")</f>
        <v>OK</v>
      </c>
    </row>
    <row r="183" customFormat="false" ht="15" hidden="false" customHeight="false" outlineLevel="0" collapsed="false">
      <c r="A183" s="7" t="str">
        <f aca="false">'Raw_Data (Before)'!A183</f>
        <v>EMP0010</v>
      </c>
      <c r="B183" s="7" t="str">
        <f aca="false">PROPER(TRIM('Raw_Data (Before)'!B183))</f>
        <v>Ola Bello</v>
      </c>
      <c r="C183" s="7" t="str">
        <f aca="false">IFERROR(INDEX(Lookup_Tables!$B$5:$B$24,MATCH(UPPER(TRIM('Raw_Data (Before)'!C183)),Lookup_Tables!$A$5:$A$24,0)),"UNMAPPED")</f>
        <v>Marketing</v>
      </c>
      <c r="D183" s="7" t="str">
        <f aca="false">IFERROR(INDEX(Lookup_Tables!$E$5:$E$8,MATCH(UPPER(TRIM('Raw_Data (Before)'!D183)),Lookup_Tables!$D$5:$D$8,0)),"UNMAPPED")</f>
        <v>Male</v>
      </c>
      <c r="E183" s="7" t="n">
        <f aca="false">'Raw_Data (Before)'!E183</f>
        <v>27</v>
      </c>
      <c r="F183" s="7" t="str">
        <f aca="false">IF(E183="","No",IF(OR(E183&lt;16,E183&gt;75),"No","Yes"))</f>
        <v>Yes</v>
      </c>
      <c r="G183" s="7" t="n">
        <f aca="false">IFERROR(VALUE(SUBSTITUTE(SUBSTITUTE('Raw_Data (Before)'!F183,"₦",""),",","")),"")</f>
        <v>584913</v>
      </c>
      <c r="H183" s="7" t="str">
        <f aca="false">IF(G183="","No",IF(OR(G183&lt;=0,G183&gt;5000000),"No","Yes"))</f>
        <v>Yes</v>
      </c>
      <c r="I183" s="8" t="n">
        <f aca="false">IFERROR(DATEVALUE('Raw_Data (Before)'!G183),"")</f>
        <v>44708</v>
      </c>
      <c r="J183" s="7" t="str">
        <f aca="false">IF(I183="","No","Yes")</f>
        <v>Yes</v>
      </c>
      <c r="K183" s="7" t="str">
        <f aca="false">IF(OR(ISERROR(FIND("@",'Raw_Data (Before)'!H183)),ISNUMBER(FIND("@@",'Raw_Data (Before)'!H183)),ISNUMBER(FIND(" ",'Raw_Data (Before)'!H183)),ISERROR(FIND(".",'Raw_Data (Before)'!H183,FIND("@",'Raw_Data (Before)'!H183)))),"No","Yes")</f>
        <v>No</v>
      </c>
      <c r="L183" s="7" t="str">
        <f aca="false">IFERROR(INDEX(Lookup_Tables!$H$5:$H$9,MATCH(UPPER(TRIM('Raw_Data (Before)'!I183)),Lookup_Tables!$G$5:$G$9,0)),"UNMAPPED")</f>
        <v>Inactive</v>
      </c>
      <c r="M183" s="7" t="str">
        <f aca="false">IF(COUNTIF('Raw_Data (Before)'!$A$5:$A$424,A183)&gt;1,"YES","No")</f>
        <v>No</v>
      </c>
      <c r="N183" s="7" t="str">
        <f aca="false">IF(OR(C183="UNMAPPED",D183="UNMAPPED",F183="No",H183="No",J183="No",K183="No",L183="UNMAPPED",M183="YES"),"NEEDS REVIEW","OK")</f>
        <v>NEEDS REVIEW</v>
      </c>
    </row>
    <row r="184" customFormat="false" ht="15" hidden="false" customHeight="false" outlineLevel="0" collapsed="false">
      <c r="A184" s="7" t="str">
        <f aca="false">'Raw_Data (Before)'!A184</f>
        <v>EMP0371</v>
      </c>
      <c r="B184" s="7" t="str">
        <f aca="false">PROPER(TRIM('Raw_Data (Before)'!B184))</f>
        <v>Ola Nwosu</v>
      </c>
      <c r="C184" s="7" t="str">
        <f aca="false">IFERROR(INDEX(Lookup_Tables!$B$5:$B$24,MATCH(UPPER(TRIM('Raw_Data (Before)'!C184)),Lookup_Tables!$A$5:$A$24,0)),"UNMAPPED")</f>
        <v>HR</v>
      </c>
      <c r="D184" s="7" t="str">
        <f aca="false">IFERROR(INDEX(Lookup_Tables!$E$5:$E$8,MATCH(UPPER(TRIM('Raw_Data (Before)'!D184)),Lookup_Tables!$D$5:$D$8,0)),"UNMAPPED")</f>
        <v>Female</v>
      </c>
      <c r="E184" s="7" t="n">
        <f aca="false">'Raw_Data (Before)'!E184</f>
        <v>32</v>
      </c>
      <c r="F184" s="7" t="str">
        <f aca="false">IF(E184="","No",IF(OR(E184&lt;16,E184&gt;75),"No","Yes"))</f>
        <v>Yes</v>
      </c>
      <c r="G184" s="7" t="n">
        <f aca="false">IFERROR(VALUE(SUBSTITUTE(SUBSTITUTE('Raw_Data (Before)'!F184,"₦",""),",","")),"")</f>
        <v>457849</v>
      </c>
      <c r="H184" s="7" t="str">
        <f aca="false">IF(G184="","No",IF(OR(G184&lt;=0,G184&gt;5000000),"No","Yes"))</f>
        <v>Yes</v>
      </c>
      <c r="I184" s="8" t="n">
        <f aca="false">IFERROR(DATEVALUE('Raw_Data (Before)'!G184),"")</f>
        <v>45069</v>
      </c>
      <c r="J184" s="7" t="str">
        <f aca="false">IF(I184="","No","Yes")</f>
        <v>Yes</v>
      </c>
      <c r="K184" s="7" t="str">
        <f aca="false">IF(OR(ISERROR(FIND("@",'Raw_Data (Before)'!H184)),ISNUMBER(FIND("@@",'Raw_Data (Before)'!H184)),ISNUMBER(FIND(" ",'Raw_Data (Before)'!H184)),ISERROR(FIND(".",'Raw_Data (Before)'!H184,FIND("@",'Raw_Data (Before)'!H184)))),"No","Yes")</f>
        <v>Yes</v>
      </c>
      <c r="L184" s="7" t="str">
        <f aca="false">IFERROR(INDEX(Lookup_Tables!$H$5:$H$9,MATCH(UPPER(TRIM('Raw_Data (Before)'!I184)),Lookup_Tables!$G$5:$G$9,0)),"UNMAPPED")</f>
        <v>Active</v>
      </c>
      <c r="M184" s="7" t="str">
        <f aca="false">IF(COUNTIF('Raw_Data (Before)'!$A$5:$A$424,A184)&gt;1,"YES","No")</f>
        <v>No</v>
      </c>
      <c r="N184" s="7" t="str">
        <f aca="false">IF(OR(C184="UNMAPPED",D184="UNMAPPED",F184="No",H184="No",J184="No",K184="No",L184="UNMAPPED",M184="YES"),"NEEDS REVIEW","OK")</f>
        <v>OK</v>
      </c>
    </row>
    <row r="185" customFormat="false" ht="15" hidden="false" customHeight="false" outlineLevel="0" collapsed="false">
      <c r="A185" s="7" t="str">
        <f aca="false">'Raw_Data (Before)'!A185</f>
        <v>EMP0052</v>
      </c>
      <c r="B185" s="7" t="str">
        <f aca="false">PROPER(TRIM('Raw_Data (Before)'!B185))</f>
        <v>Patience Nnamdi</v>
      </c>
      <c r="C185" s="7" t="str">
        <f aca="false">IFERROR(INDEX(Lookup_Tables!$B$5:$B$24,MATCH(UPPER(TRIM('Raw_Data (Before)'!C185)),Lookup_Tables!$A$5:$A$24,0)),"UNMAPPED")</f>
        <v>Finance</v>
      </c>
      <c r="D185" s="7" t="str">
        <f aca="false">IFERROR(INDEX(Lookup_Tables!$E$5:$E$8,MATCH(UPPER(TRIM('Raw_Data (Before)'!D185)),Lookup_Tables!$D$5:$D$8,0)),"UNMAPPED")</f>
        <v>Male</v>
      </c>
      <c r="E185" s="7" t="n">
        <f aca="false">'Raw_Data (Before)'!E185</f>
        <v>47</v>
      </c>
      <c r="F185" s="7" t="str">
        <f aca="false">IF(E185="","No",IF(OR(E185&lt;16,E185&gt;75),"No","Yes"))</f>
        <v>Yes</v>
      </c>
      <c r="G185" s="7" t="n">
        <f aca="false">IFERROR(VALUE(SUBSTITUTE(SUBSTITUTE('Raw_Data (Before)'!F185,"₦",""),",","")),"")</f>
        <v>165031</v>
      </c>
      <c r="H185" s="7" t="str">
        <f aca="false">IF(G185="","No",IF(OR(G185&lt;=0,G185&gt;5000000),"No","Yes"))</f>
        <v>Yes</v>
      </c>
      <c r="I185" s="8" t="str">
        <f aca="false">IFERROR(DATEVALUE('Raw_Data (Before)'!G185),"")</f>
        <v/>
      </c>
      <c r="J185" s="7" t="str">
        <f aca="false">IF(I185="","No","Yes")</f>
        <v>No</v>
      </c>
      <c r="K185" s="7" t="str">
        <f aca="false">IF(OR(ISERROR(FIND("@",'Raw_Data (Before)'!H185)),ISNUMBER(FIND("@@",'Raw_Data (Before)'!H185)),ISNUMBER(FIND(" ",'Raw_Data (Before)'!H185)),ISERROR(FIND(".",'Raw_Data (Before)'!H185,FIND("@",'Raw_Data (Before)'!H185)))),"No","Yes")</f>
        <v>Yes</v>
      </c>
      <c r="L185" s="7" t="str">
        <f aca="false">IFERROR(INDEX(Lookup_Tables!$H$5:$H$9,MATCH(UPPER(TRIM('Raw_Data (Before)'!I185)),Lookup_Tables!$G$5:$G$9,0)),"UNMAPPED")</f>
        <v>Inactive</v>
      </c>
      <c r="M185" s="7" t="str">
        <f aca="false">IF(COUNTIF('Raw_Data (Before)'!$A$5:$A$424,A185)&gt;1,"YES","No")</f>
        <v>No</v>
      </c>
      <c r="N185" s="7" t="str">
        <f aca="false">IF(OR(C185="UNMAPPED",D185="UNMAPPED",F185="No",H185="No",J185="No",K185="No",L185="UNMAPPED",M185="YES"),"NEEDS REVIEW","OK")</f>
        <v>NEEDS REVIEW</v>
      </c>
    </row>
    <row r="186" customFormat="false" ht="15" hidden="false" customHeight="false" outlineLevel="0" collapsed="false">
      <c r="A186" s="7" t="str">
        <f aca="false">'Raw_Data (Before)'!A186</f>
        <v>EMP0005</v>
      </c>
      <c r="B186" s="7" t="str">
        <f aca="false">PROPER(TRIM('Raw_Data (Before)'!B186))</f>
        <v>Emmanuel Yakubu</v>
      </c>
      <c r="C186" s="7" t="str">
        <f aca="false">IFERROR(INDEX(Lookup_Tables!$B$5:$B$24,MATCH(UPPER(TRIM('Raw_Data (Before)'!C186)),Lookup_Tables!$A$5:$A$24,0)),"UNMAPPED")</f>
        <v>Operations</v>
      </c>
      <c r="D186" s="7" t="str">
        <f aca="false">IFERROR(INDEX(Lookup_Tables!$E$5:$E$8,MATCH(UPPER(TRIM('Raw_Data (Before)'!D186)),Lookup_Tables!$D$5:$D$8,0)),"UNMAPPED")</f>
        <v>Female</v>
      </c>
      <c r="E186" s="7" t="n">
        <f aca="false">'Raw_Data (Before)'!E186</f>
        <v>42</v>
      </c>
      <c r="F186" s="7" t="str">
        <f aca="false">IF(E186="","No",IF(OR(E186&lt;16,E186&gt;75),"No","Yes"))</f>
        <v>Yes</v>
      </c>
      <c r="G186" s="7" t="n">
        <f aca="false">IFERROR(VALUE(SUBSTITUTE(SUBSTITUTE('Raw_Data (Before)'!F186,"₦",""),",","")),"")</f>
        <v>239367</v>
      </c>
      <c r="H186" s="7" t="str">
        <f aca="false">IF(G186="","No",IF(OR(G186&lt;=0,G186&gt;5000000),"No","Yes"))</f>
        <v>Yes</v>
      </c>
      <c r="I186" s="8" t="n">
        <f aca="false">IFERROR(DATEVALUE('Raw_Data (Before)'!G186),"")</f>
        <v>45197</v>
      </c>
      <c r="J186" s="7" t="str">
        <f aca="false">IF(I186="","No","Yes")</f>
        <v>Yes</v>
      </c>
      <c r="K186" s="7" t="str">
        <f aca="false">IF(OR(ISERROR(FIND("@",'Raw_Data (Before)'!H186)),ISNUMBER(FIND("@@",'Raw_Data (Before)'!H186)),ISNUMBER(FIND(" ",'Raw_Data (Before)'!H186)),ISERROR(FIND(".",'Raw_Data (Before)'!H186,FIND("@",'Raw_Data (Before)'!H186)))),"No","Yes")</f>
        <v>Yes</v>
      </c>
      <c r="L186" s="7" t="str">
        <f aca="false">IFERROR(INDEX(Lookup_Tables!$H$5:$H$9,MATCH(UPPER(TRIM('Raw_Data (Before)'!I186)),Lookup_Tables!$G$5:$G$9,0)),"UNMAPPED")</f>
        <v>Inactive</v>
      </c>
      <c r="M186" s="7" t="str">
        <f aca="false">IF(COUNTIF('Raw_Data (Before)'!$A$5:$A$424,A186)&gt;1,"YES","No")</f>
        <v>No</v>
      </c>
      <c r="N186" s="7" t="str">
        <f aca="false">IF(OR(C186="UNMAPPED",D186="UNMAPPED",F186="No",H186="No",J186="No",K186="No",L186="UNMAPPED",M186="YES"),"NEEDS REVIEW","OK")</f>
        <v>OK</v>
      </c>
    </row>
    <row r="187" customFormat="false" ht="15" hidden="false" customHeight="false" outlineLevel="0" collapsed="false">
      <c r="A187" s="7" t="str">
        <f aca="false">'Raw_Data (Before)'!A187</f>
        <v>EMP0197</v>
      </c>
      <c r="B187" s="7" t="str">
        <f aca="false">PROPER(TRIM('Raw_Data (Before)'!B187))</f>
        <v>Mary Adamu</v>
      </c>
      <c r="C187" s="7" t="str">
        <f aca="false">IFERROR(INDEX(Lookup_Tables!$B$5:$B$24,MATCH(UPPER(TRIM('Raw_Data (Before)'!C187)),Lookup_Tables!$A$5:$A$24,0)),"UNMAPPED")</f>
        <v>Operations</v>
      </c>
      <c r="D187" s="7" t="str">
        <f aca="false">IFERROR(INDEX(Lookup_Tables!$E$5:$E$8,MATCH(UPPER(TRIM('Raw_Data (Before)'!D187)),Lookup_Tables!$D$5:$D$8,0)),"UNMAPPED")</f>
        <v>Male</v>
      </c>
      <c r="E187" s="7" t="n">
        <f aca="false">'Raw_Data (Before)'!E187</f>
        <v>49</v>
      </c>
      <c r="F187" s="7" t="str">
        <f aca="false">IF(E187="","No",IF(OR(E187&lt;16,E187&gt;75),"No","Yes"))</f>
        <v>Yes</v>
      </c>
      <c r="G187" s="7" t="n">
        <f aca="false">IFERROR(VALUE(SUBSTITUTE(SUBSTITUTE('Raw_Data (Before)'!F187,"₦",""),",","")),"")</f>
        <v>102317</v>
      </c>
      <c r="H187" s="7" t="str">
        <f aca="false">IF(G187="","No",IF(OR(G187&lt;=0,G187&gt;5000000),"No","Yes"))</f>
        <v>Yes</v>
      </c>
      <c r="I187" s="8" t="n">
        <f aca="false">IFERROR(DATEVALUE('Raw_Data (Before)'!G187),"")</f>
        <v>44143</v>
      </c>
      <c r="J187" s="7" t="str">
        <f aca="false">IF(I187="","No","Yes")</f>
        <v>Yes</v>
      </c>
      <c r="K187" s="7" t="str">
        <f aca="false">IF(OR(ISERROR(FIND("@",'Raw_Data (Before)'!H187)),ISNUMBER(FIND("@@",'Raw_Data (Before)'!H187)),ISNUMBER(FIND(" ",'Raw_Data (Before)'!H187)),ISERROR(FIND(".",'Raw_Data (Before)'!H187,FIND("@",'Raw_Data (Before)'!H187)))),"No","Yes")</f>
        <v>Yes</v>
      </c>
      <c r="L187" s="7" t="str">
        <f aca="false">IFERROR(INDEX(Lookup_Tables!$H$5:$H$9,MATCH(UPPER(TRIM('Raw_Data (Before)'!I187)),Lookup_Tables!$G$5:$G$9,0)),"UNMAPPED")</f>
        <v>Inactive</v>
      </c>
      <c r="M187" s="7" t="str">
        <f aca="false">IF(COUNTIF('Raw_Data (Before)'!$A$5:$A$424,A187)&gt;1,"YES","No")</f>
        <v>No</v>
      </c>
      <c r="N187" s="7" t="str">
        <f aca="false">IF(OR(C187="UNMAPPED",D187="UNMAPPED",F187="No",H187="No",J187="No",K187="No",L187="UNMAPPED",M187="YES"),"NEEDS REVIEW","OK")</f>
        <v>OK</v>
      </c>
    </row>
    <row r="188" customFormat="false" ht="15" hidden="false" customHeight="false" outlineLevel="0" collapsed="false">
      <c r="A188" s="7" t="str">
        <f aca="false">'Raw_Data (Before)'!A188</f>
        <v>EMP0125</v>
      </c>
      <c r="B188" s="7" t="str">
        <f aca="false">PROPER(TRIM('Raw_Data (Before)'!B188))</f>
        <v>Ahmed Duru</v>
      </c>
      <c r="C188" s="7" t="str">
        <f aca="false">IFERROR(INDEX(Lookup_Tables!$B$5:$B$24,MATCH(UPPER(TRIM('Raw_Data (Before)'!C188)),Lookup_Tables!$A$5:$A$24,0)),"UNMAPPED")</f>
        <v>Operations</v>
      </c>
      <c r="D188" s="7" t="str">
        <f aca="false">IFERROR(INDEX(Lookup_Tables!$E$5:$E$8,MATCH(UPPER(TRIM('Raw_Data (Before)'!D188)),Lookup_Tables!$D$5:$D$8,0)),"UNMAPPED")</f>
        <v>Female</v>
      </c>
      <c r="E188" s="7" t="n">
        <f aca="false">'Raw_Data (Before)'!E188</f>
        <v>57</v>
      </c>
      <c r="F188" s="7" t="str">
        <f aca="false">IF(E188="","No",IF(OR(E188&lt;16,E188&gt;75),"No","Yes"))</f>
        <v>Yes</v>
      </c>
      <c r="G188" s="7" t="n">
        <f aca="false">IFERROR(VALUE(SUBSTITUTE(SUBSTITUTE('Raw_Data (Before)'!F188,"₦",""),",","")),"")</f>
        <v>234139</v>
      </c>
      <c r="H188" s="7" t="str">
        <f aca="false">IF(G188="","No",IF(OR(G188&lt;=0,G188&gt;5000000),"No","Yes"))</f>
        <v>Yes</v>
      </c>
      <c r="I188" s="8" t="str">
        <f aca="false">IFERROR(DATEVALUE('Raw_Data (Before)'!G188),"")</f>
        <v/>
      </c>
      <c r="J188" s="7" t="str">
        <f aca="false">IF(I188="","No","Yes")</f>
        <v>No</v>
      </c>
      <c r="K188" s="7" t="str">
        <f aca="false">IF(OR(ISERROR(FIND("@",'Raw_Data (Before)'!H188)),ISNUMBER(FIND("@@",'Raw_Data (Before)'!H188)),ISNUMBER(FIND(" ",'Raw_Data (Before)'!H188)),ISERROR(FIND(".",'Raw_Data (Before)'!H188,FIND("@",'Raw_Data (Before)'!H188)))),"No","Yes")</f>
        <v>Yes</v>
      </c>
      <c r="L188" s="7" t="str">
        <f aca="false">IFERROR(INDEX(Lookup_Tables!$H$5:$H$9,MATCH(UPPER(TRIM('Raw_Data (Before)'!I188)),Lookup_Tables!$G$5:$G$9,0)),"UNMAPPED")</f>
        <v>Active</v>
      </c>
      <c r="M188" s="7" t="str">
        <f aca="false">IF(COUNTIF('Raw_Data (Before)'!$A$5:$A$424,A188)&gt;1,"YES","No")</f>
        <v>No</v>
      </c>
      <c r="N188" s="7" t="str">
        <f aca="false">IF(OR(C188="UNMAPPED",D188="UNMAPPED",F188="No",H188="No",J188="No",K188="No",L188="UNMAPPED",M188="YES"),"NEEDS REVIEW","OK")</f>
        <v>NEEDS REVIEW</v>
      </c>
    </row>
    <row r="189" customFormat="false" ht="15" hidden="false" customHeight="false" outlineLevel="0" collapsed="false">
      <c r="A189" s="7" t="str">
        <f aca="false">'Raw_Data (Before)'!A189</f>
        <v>EMP0129</v>
      </c>
      <c r="B189" s="7" t="str">
        <f aca="false">PROPER(TRIM('Raw_Data (Before)'!B189))</f>
        <v>James Okonkwo</v>
      </c>
      <c r="C189" s="7" t="str">
        <f aca="false">IFERROR(INDEX(Lookup_Tables!$B$5:$B$24,MATCH(UPPER(TRIM('Raw_Data (Before)'!C189)),Lookup_Tables!$A$5:$A$24,0)),"UNMAPPED")</f>
        <v>Customer Service</v>
      </c>
      <c r="D189" s="7" t="str">
        <f aca="false">IFERROR(INDEX(Lookup_Tables!$E$5:$E$8,MATCH(UPPER(TRIM('Raw_Data (Before)'!D189)),Lookup_Tables!$D$5:$D$8,0)),"UNMAPPED")</f>
        <v>Male</v>
      </c>
      <c r="E189" s="7" t="n">
        <f aca="false">'Raw_Data (Before)'!E189</f>
        <v>27</v>
      </c>
      <c r="F189" s="7" t="str">
        <f aca="false">IF(E189="","No",IF(OR(E189&lt;16,E189&gt;75),"No","Yes"))</f>
        <v>Yes</v>
      </c>
      <c r="G189" s="7" t="n">
        <f aca="false">IFERROR(VALUE(SUBSTITUTE(SUBSTITUTE('Raw_Data (Before)'!F189,"₦",""),",","")),"")</f>
        <v>115210</v>
      </c>
      <c r="H189" s="7" t="str">
        <f aca="false">IF(G189="","No",IF(OR(G189&lt;=0,G189&gt;5000000),"No","Yes"))</f>
        <v>Yes</v>
      </c>
      <c r="I189" s="8" t="n">
        <f aca="false">IFERROR(DATEVALUE('Raw_Data (Before)'!G189),"")</f>
        <v>44250</v>
      </c>
      <c r="J189" s="7" t="str">
        <f aca="false">IF(I189="","No","Yes")</f>
        <v>Yes</v>
      </c>
      <c r="K189" s="7" t="str">
        <f aca="false">IF(OR(ISERROR(FIND("@",'Raw_Data (Before)'!H189)),ISNUMBER(FIND("@@",'Raw_Data (Before)'!H189)),ISNUMBER(FIND(" ",'Raw_Data (Before)'!H189)),ISERROR(FIND(".",'Raw_Data (Before)'!H189,FIND("@",'Raw_Data (Before)'!H189)))),"No","Yes")</f>
        <v>Yes</v>
      </c>
      <c r="L189" s="7" t="str">
        <f aca="false">IFERROR(INDEX(Lookup_Tables!$H$5:$H$9,MATCH(UPPER(TRIM('Raw_Data (Before)'!I189)),Lookup_Tables!$G$5:$G$9,0)),"UNMAPPED")</f>
        <v>Active</v>
      </c>
      <c r="M189" s="7" t="str">
        <f aca="false">IF(COUNTIF('Raw_Data (Before)'!$A$5:$A$424,A189)&gt;1,"YES","No")</f>
        <v>No</v>
      </c>
      <c r="N189" s="7" t="str">
        <f aca="false">IF(OR(C189="UNMAPPED",D189="UNMAPPED",F189="No",H189="No",J189="No",K189="No",L189="UNMAPPED",M189="YES"),"NEEDS REVIEW","OK")</f>
        <v>OK</v>
      </c>
    </row>
    <row r="190" customFormat="false" ht="15" hidden="false" customHeight="false" outlineLevel="0" collapsed="false">
      <c r="A190" s="7" t="str">
        <f aca="false">'Raw_Data (Before)'!A190</f>
        <v>EMP0166</v>
      </c>
      <c r="B190" s="7" t="str">
        <f aca="false">PROPER(TRIM('Raw_Data (Before)'!B190))</f>
        <v>Ola Bello</v>
      </c>
      <c r="C190" s="7" t="str">
        <f aca="false">IFERROR(INDEX(Lookup_Tables!$B$5:$B$24,MATCH(UPPER(TRIM('Raw_Data (Before)'!C190)),Lookup_Tables!$A$5:$A$24,0)),"UNMAPPED")</f>
        <v>Marketing</v>
      </c>
      <c r="D190" s="7" t="str">
        <f aca="false">IFERROR(INDEX(Lookup_Tables!$E$5:$E$8,MATCH(UPPER(TRIM('Raw_Data (Before)'!D190)),Lookup_Tables!$D$5:$D$8,0)),"UNMAPPED")</f>
        <v>Female</v>
      </c>
      <c r="E190" s="7" t="n">
        <f aca="false">'Raw_Data (Before)'!E190</f>
        <v>58</v>
      </c>
      <c r="F190" s="7" t="str">
        <f aca="false">IF(E190="","No",IF(OR(E190&lt;16,E190&gt;75),"No","Yes"))</f>
        <v>Yes</v>
      </c>
      <c r="G190" s="7" t="n">
        <f aca="false">IFERROR(VALUE(SUBSTITUTE(SUBSTITUTE('Raw_Data (Before)'!F190,"₦",""),",","")),"")</f>
        <v>146083</v>
      </c>
      <c r="H190" s="7" t="str">
        <f aca="false">IF(G190="","No",IF(OR(G190&lt;=0,G190&gt;5000000),"No","Yes"))</f>
        <v>Yes</v>
      </c>
      <c r="I190" s="8" t="str">
        <f aca="false">IFERROR(DATEVALUE('Raw_Data (Before)'!G190),"")</f>
        <v/>
      </c>
      <c r="J190" s="7" t="str">
        <f aca="false">IF(I190="","No","Yes")</f>
        <v>No</v>
      </c>
      <c r="K190" s="7" t="str">
        <f aca="false">IF(OR(ISERROR(FIND("@",'Raw_Data (Before)'!H190)),ISNUMBER(FIND("@@",'Raw_Data (Before)'!H190)),ISNUMBER(FIND(" ",'Raw_Data (Before)'!H190)),ISERROR(FIND(".",'Raw_Data (Before)'!H190,FIND("@",'Raw_Data (Before)'!H190)))),"No","Yes")</f>
        <v>Yes</v>
      </c>
      <c r="L190" s="7" t="str">
        <f aca="false">IFERROR(INDEX(Lookup_Tables!$H$5:$H$9,MATCH(UPPER(TRIM('Raw_Data (Before)'!I190)),Lookup_Tables!$G$5:$G$9,0)),"UNMAPPED")</f>
        <v>Active</v>
      </c>
      <c r="M190" s="7" t="str">
        <f aca="false">IF(COUNTIF('Raw_Data (Before)'!$A$5:$A$424,A190)&gt;1,"YES","No")</f>
        <v>No</v>
      </c>
      <c r="N190" s="7" t="str">
        <f aca="false">IF(OR(C190="UNMAPPED",D190="UNMAPPED",F190="No",H190="No",J190="No",K190="No",L190="UNMAPPED",M190="YES"),"NEEDS REVIEW","OK")</f>
        <v>NEEDS REVIEW</v>
      </c>
    </row>
    <row r="191" customFormat="false" ht="15" hidden="false" customHeight="false" outlineLevel="0" collapsed="false">
      <c r="A191" s="7" t="str">
        <f aca="false">'Raw_Data (Before)'!A191</f>
        <v>EMP0296</v>
      </c>
      <c r="B191" s="7" t="str">
        <f aca="false">PROPER(TRIM('Raw_Data (Before)'!B191))</f>
        <v>Ibrahim Lawal</v>
      </c>
      <c r="C191" s="7" t="str">
        <f aca="false">IFERROR(INDEX(Lookup_Tables!$B$5:$B$24,MATCH(UPPER(TRIM('Raw_Data (Before)'!C191)),Lookup_Tables!$A$5:$A$24,0)),"UNMAPPED")</f>
        <v>Finance</v>
      </c>
      <c r="D191" s="7" t="str">
        <f aca="false">IFERROR(INDEX(Lookup_Tables!$E$5:$E$8,MATCH(UPPER(TRIM('Raw_Data (Before)'!D191)),Lookup_Tables!$D$5:$D$8,0)),"UNMAPPED")</f>
        <v>Female</v>
      </c>
      <c r="E191" s="7" t="n">
        <f aca="false">'Raw_Data (Before)'!E191</f>
        <v>22</v>
      </c>
      <c r="F191" s="7" t="str">
        <f aca="false">IF(E191="","No",IF(OR(E191&lt;16,E191&gt;75),"No","Yes"))</f>
        <v>Yes</v>
      </c>
      <c r="G191" s="7" t="n">
        <f aca="false">IFERROR(VALUE(SUBSTITUTE(SUBSTITUTE('Raw_Data (Before)'!F191,"₦",""),",","")),"")</f>
        <v>176220</v>
      </c>
      <c r="H191" s="7" t="str">
        <f aca="false">IF(G191="","No",IF(OR(G191&lt;=0,G191&gt;5000000),"No","Yes"))</f>
        <v>Yes</v>
      </c>
      <c r="I191" s="8" t="str">
        <f aca="false">IFERROR(DATEVALUE('Raw_Data (Before)'!G191),"")</f>
        <v/>
      </c>
      <c r="J191" s="7" t="str">
        <f aca="false">IF(I191="","No","Yes")</f>
        <v>No</v>
      </c>
      <c r="K191" s="7" t="str">
        <f aca="false">IF(OR(ISERROR(FIND("@",'Raw_Data (Before)'!H191)),ISNUMBER(FIND("@@",'Raw_Data (Before)'!H191)),ISNUMBER(FIND(" ",'Raw_Data (Before)'!H191)),ISERROR(FIND(".",'Raw_Data (Before)'!H191,FIND("@",'Raw_Data (Before)'!H191)))),"No","Yes")</f>
        <v>Yes</v>
      </c>
      <c r="L191" s="7" t="str">
        <f aca="false">IFERROR(INDEX(Lookup_Tables!$H$5:$H$9,MATCH(UPPER(TRIM('Raw_Data (Before)'!I191)),Lookup_Tables!$G$5:$G$9,0)),"UNMAPPED")</f>
        <v>Active</v>
      </c>
      <c r="M191" s="7" t="str">
        <f aca="false">IF(COUNTIF('Raw_Data (Before)'!$A$5:$A$424,A191)&gt;1,"YES","No")</f>
        <v>No</v>
      </c>
      <c r="N191" s="7" t="str">
        <f aca="false">IF(OR(C191="UNMAPPED",D191="UNMAPPED",F191="No",H191="No",J191="No",K191="No",L191="UNMAPPED",M191="YES"),"NEEDS REVIEW","OK")</f>
        <v>NEEDS REVIEW</v>
      </c>
    </row>
    <row r="192" customFormat="false" ht="15" hidden="false" customHeight="false" outlineLevel="0" collapsed="false">
      <c r="A192" s="7" t="str">
        <f aca="false">'Raw_Data (Before)'!A192</f>
        <v>EMP0050</v>
      </c>
      <c r="B192" s="7" t="str">
        <f aca="false">PROPER(TRIM('Raw_Data (Before)'!B192))</f>
        <v>Daniel Okafor</v>
      </c>
      <c r="C192" s="7" t="str">
        <f aca="false">IFERROR(INDEX(Lookup_Tables!$B$5:$B$24,MATCH(UPPER(TRIM('Raw_Data (Before)'!C192)),Lookup_Tables!$A$5:$A$24,0)),"UNMAPPED")</f>
        <v>IT</v>
      </c>
      <c r="D192" s="7" t="str">
        <f aca="false">IFERROR(INDEX(Lookup_Tables!$E$5:$E$8,MATCH(UPPER(TRIM('Raw_Data (Before)'!D192)),Lookup_Tables!$D$5:$D$8,0)),"UNMAPPED")</f>
        <v>Male</v>
      </c>
      <c r="E192" s="7" t="n">
        <f aca="false">'Raw_Data (Before)'!E192</f>
        <v>29</v>
      </c>
      <c r="F192" s="7" t="str">
        <f aca="false">IF(E192="","No",IF(OR(E192&lt;16,E192&gt;75),"No","Yes"))</f>
        <v>Yes</v>
      </c>
      <c r="G192" s="7" t="n">
        <f aca="false">IFERROR(VALUE(SUBSTITUTE(SUBSTITUTE('Raw_Data (Before)'!F192,"₦",""),",","")),"")</f>
        <v>736904</v>
      </c>
      <c r="H192" s="7" t="str">
        <f aca="false">IF(G192="","No",IF(OR(G192&lt;=0,G192&gt;5000000),"No","Yes"))</f>
        <v>Yes</v>
      </c>
      <c r="I192" s="8" t="n">
        <f aca="false">IFERROR(DATEVALUE('Raw_Data (Before)'!G192),"")</f>
        <v>45744</v>
      </c>
      <c r="J192" s="7" t="str">
        <f aca="false">IF(I192="","No","Yes")</f>
        <v>Yes</v>
      </c>
      <c r="K192" s="7" t="str">
        <f aca="false">IF(OR(ISERROR(FIND("@",'Raw_Data (Before)'!H192)),ISNUMBER(FIND("@@",'Raw_Data (Before)'!H192)),ISNUMBER(FIND(" ",'Raw_Data (Before)'!H192)),ISERROR(FIND(".",'Raw_Data (Before)'!H192,FIND("@",'Raw_Data (Before)'!H192)))),"No","Yes")</f>
        <v>Yes</v>
      </c>
      <c r="L192" s="7" t="str">
        <f aca="false">IFERROR(INDEX(Lookup_Tables!$H$5:$H$9,MATCH(UPPER(TRIM('Raw_Data (Before)'!I192)),Lookup_Tables!$G$5:$G$9,0)),"UNMAPPED")</f>
        <v>Active</v>
      </c>
      <c r="M192" s="7" t="str">
        <f aca="false">IF(COUNTIF('Raw_Data (Before)'!$A$5:$A$424,A192)&gt;1,"YES","No")</f>
        <v>No</v>
      </c>
      <c r="N192" s="7" t="str">
        <f aca="false">IF(OR(C192="UNMAPPED",D192="UNMAPPED",F192="No",H192="No",J192="No",K192="No",L192="UNMAPPED",M192="YES"),"NEEDS REVIEW","OK")</f>
        <v>OK</v>
      </c>
    </row>
    <row r="193" customFormat="false" ht="15" hidden="false" customHeight="false" outlineLevel="0" collapsed="false">
      <c r="A193" s="7" t="str">
        <f aca="false">'Raw_Data (Before)'!A193</f>
        <v>EMP0138</v>
      </c>
      <c r="B193" s="7" t="str">
        <f aca="false">PROPER(TRIM('Raw_Data (Before)'!B193))</f>
        <v>Patience Eze</v>
      </c>
      <c r="C193" s="7" t="str">
        <f aca="false">IFERROR(INDEX(Lookup_Tables!$B$5:$B$24,MATCH(UPPER(TRIM('Raw_Data (Before)'!C193)),Lookup_Tables!$A$5:$A$24,0)),"UNMAPPED")</f>
        <v>Sales</v>
      </c>
      <c r="D193" s="7" t="str">
        <f aca="false">IFERROR(INDEX(Lookup_Tables!$E$5:$E$8,MATCH(UPPER(TRIM('Raw_Data (Before)'!D193)),Lookup_Tables!$D$5:$D$8,0)),"UNMAPPED")</f>
        <v>Male</v>
      </c>
      <c r="E193" s="7" t="n">
        <f aca="false">'Raw_Data (Before)'!E193</f>
        <v>39</v>
      </c>
      <c r="F193" s="7" t="str">
        <f aca="false">IF(E193="","No",IF(OR(E193&lt;16,E193&gt;75),"No","Yes"))</f>
        <v>Yes</v>
      </c>
      <c r="G193" s="7" t="n">
        <f aca="false">IFERROR(VALUE(SUBSTITUTE(SUBSTITUTE('Raw_Data (Before)'!F193,"₦",""),",","")),"")</f>
        <v>515825</v>
      </c>
      <c r="H193" s="7" t="str">
        <f aca="false">IF(G193="","No",IF(OR(G193&lt;=0,G193&gt;5000000),"No","Yes"))</f>
        <v>Yes</v>
      </c>
      <c r="I193" s="8" t="n">
        <f aca="false">IFERROR(DATEVALUE('Raw_Data (Before)'!G193),"")</f>
        <v>43930</v>
      </c>
      <c r="J193" s="7" t="str">
        <f aca="false">IF(I193="","No","Yes")</f>
        <v>Yes</v>
      </c>
      <c r="K193" s="7" t="str">
        <f aca="false">IF(OR(ISERROR(FIND("@",'Raw_Data (Before)'!H193)),ISNUMBER(FIND("@@",'Raw_Data (Before)'!H193)),ISNUMBER(FIND(" ",'Raw_Data (Before)'!H193)),ISERROR(FIND(".",'Raw_Data (Before)'!H193,FIND("@",'Raw_Data (Before)'!H193)))),"No","Yes")</f>
        <v>No</v>
      </c>
      <c r="L193" s="7" t="str">
        <f aca="false">IFERROR(INDEX(Lookup_Tables!$H$5:$H$9,MATCH(UPPER(TRIM('Raw_Data (Before)'!I193)),Lookup_Tables!$G$5:$G$9,0)),"UNMAPPED")</f>
        <v>Active</v>
      </c>
      <c r="M193" s="7" t="str">
        <f aca="false">IF(COUNTIF('Raw_Data (Before)'!$A$5:$A$424,A193)&gt;1,"YES","No")</f>
        <v>No</v>
      </c>
      <c r="N193" s="7" t="str">
        <f aca="false">IF(OR(C193="UNMAPPED",D193="UNMAPPED",F193="No",H193="No",J193="No",K193="No",L193="UNMAPPED",M193="YES"),"NEEDS REVIEW","OK")</f>
        <v>NEEDS REVIEW</v>
      </c>
    </row>
    <row r="194" customFormat="false" ht="15" hidden="false" customHeight="false" outlineLevel="0" collapsed="false">
      <c r="A194" s="7" t="str">
        <f aca="false">'Raw_Data (Before)'!A194</f>
        <v>EMP0151</v>
      </c>
      <c r="B194" s="7" t="str">
        <f aca="false">PROPER(TRIM('Raw_Data (Before)'!B194))</f>
        <v>Bisi Ogundipe</v>
      </c>
      <c r="C194" s="7" t="str">
        <f aca="false">IFERROR(INDEX(Lookup_Tables!$B$5:$B$24,MATCH(UPPER(TRIM('Raw_Data (Before)'!C194)),Lookup_Tables!$A$5:$A$24,0)),"UNMAPPED")</f>
        <v>IT</v>
      </c>
      <c r="D194" s="7" t="str">
        <f aca="false">IFERROR(INDEX(Lookup_Tables!$E$5:$E$8,MATCH(UPPER(TRIM('Raw_Data (Before)'!D194)),Lookup_Tables!$D$5:$D$8,0)),"UNMAPPED")</f>
        <v>Male</v>
      </c>
      <c r="E194" s="7" t="n">
        <f aca="false">'Raw_Data (Before)'!E194</f>
        <v>39</v>
      </c>
      <c r="F194" s="7" t="str">
        <f aca="false">IF(E194="","No",IF(OR(E194&lt;16,E194&gt;75),"No","Yes"))</f>
        <v>Yes</v>
      </c>
      <c r="G194" s="7" t="n">
        <f aca="false">IFERROR(VALUE(SUBSTITUTE(SUBSTITUTE('Raw_Data (Before)'!F194,"₦",""),",","")),"")</f>
        <v>506292</v>
      </c>
      <c r="H194" s="7" t="str">
        <f aca="false">IF(G194="","No",IF(OR(G194&lt;=0,G194&gt;5000000),"No","Yes"))</f>
        <v>Yes</v>
      </c>
      <c r="I194" s="8" t="n">
        <f aca="false">IFERROR(DATEVALUE('Raw_Data (Before)'!G194),"")</f>
        <v>44785</v>
      </c>
      <c r="J194" s="7" t="str">
        <f aca="false">IF(I194="","No","Yes")</f>
        <v>Yes</v>
      </c>
      <c r="K194" s="7" t="str">
        <f aca="false">IF(OR(ISERROR(FIND("@",'Raw_Data (Before)'!H194)),ISNUMBER(FIND("@@",'Raw_Data (Before)'!H194)),ISNUMBER(FIND(" ",'Raw_Data (Before)'!H194)),ISERROR(FIND(".",'Raw_Data (Before)'!H194,FIND("@",'Raw_Data (Before)'!H194)))),"No","Yes")</f>
        <v>Yes</v>
      </c>
      <c r="L194" s="7" t="str">
        <f aca="false">IFERROR(INDEX(Lookup_Tables!$H$5:$H$9,MATCH(UPPER(TRIM('Raw_Data (Before)'!I194)),Lookup_Tables!$G$5:$G$9,0)),"UNMAPPED")</f>
        <v>Active</v>
      </c>
      <c r="M194" s="7" t="str">
        <f aca="false">IF(COUNTIF('Raw_Data (Before)'!$A$5:$A$424,A194)&gt;1,"YES","No")</f>
        <v>No</v>
      </c>
      <c r="N194" s="7" t="str">
        <f aca="false">IF(OR(C194="UNMAPPED",D194="UNMAPPED",F194="No",H194="No",J194="No",K194="No",L194="UNMAPPED",M194="YES"),"NEEDS REVIEW","OK")</f>
        <v>OK</v>
      </c>
    </row>
    <row r="195" customFormat="false" ht="15" hidden="false" customHeight="false" outlineLevel="0" collapsed="false">
      <c r="A195" s="7" t="str">
        <f aca="false">'Raw_Data (Before)'!A195</f>
        <v>EMP0122</v>
      </c>
      <c r="B195" s="7" t="str">
        <f aca="false">PROPER(TRIM('Raw_Data (Before)'!B195))</f>
        <v>Chinedu Abubakar</v>
      </c>
      <c r="C195" s="7" t="str">
        <f aca="false">IFERROR(INDEX(Lookup_Tables!$B$5:$B$24,MATCH(UPPER(TRIM('Raw_Data (Before)'!C195)),Lookup_Tables!$A$5:$A$24,0)),"UNMAPPED")</f>
        <v>Operations</v>
      </c>
      <c r="D195" s="7" t="str">
        <f aca="false">IFERROR(INDEX(Lookup_Tables!$E$5:$E$8,MATCH(UPPER(TRIM('Raw_Data (Before)'!D195)),Lookup_Tables!$D$5:$D$8,0)),"UNMAPPED")</f>
        <v>Male</v>
      </c>
      <c r="E195" s="7" t="n">
        <f aca="false">'Raw_Data (Before)'!E195</f>
        <v>51</v>
      </c>
      <c r="F195" s="7" t="str">
        <f aca="false">IF(E195="","No",IF(OR(E195&lt;16,E195&gt;75),"No","Yes"))</f>
        <v>Yes</v>
      </c>
      <c r="G195" s="7" t="n">
        <f aca="false">IFERROR(VALUE(SUBSTITUTE(SUBSTITUTE('Raw_Data (Before)'!F195,"₦",""),",","")),"")</f>
        <v>789759</v>
      </c>
      <c r="H195" s="7" t="str">
        <f aca="false">IF(G195="","No",IF(OR(G195&lt;=0,G195&gt;5000000),"No","Yes"))</f>
        <v>Yes</v>
      </c>
      <c r="I195" s="8" t="n">
        <f aca="false">IFERROR(DATEVALUE('Raw_Data (Before)'!G195),"")</f>
        <v>44606</v>
      </c>
      <c r="J195" s="7" t="str">
        <f aca="false">IF(I195="","No","Yes")</f>
        <v>Yes</v>
      </c>
      <c r="K195" s="7" t="str">
        <f aca="false">IF(OR(ISERROR(FIND("@",'Raw_Data (Before)'!H195)),ISNUMBER(FIND("@@",'Raw_Data (Before)'!H195)),ISNUMBER(FIND(" ",'Raw_Data (Before)'!H195)),ISERROR(FIND(".",'Raw_Data (Before)'!H195,FIND("@",'Raw_Data (Before)'!H195)))),"No","Yes")</f>
        <v>Yes</v>
      </c>
      <c r="L195" s="7" t="str">
        <f aca="false">IFERROR(INDEX(Lookup_Tables!$H$5:$H$9,MATCH(UPPER(TRIM('Raw_Data (Before)'!I195)),Lookup_Tables!$G$5:$G$9,0)),"UNMAPPED")</f>
        <v>Active</v>
      </c>
      <c r="M195" s="7" t="str">
        <f aca="false">IF(COUNTIF('Raw_Data (Before)'!$A$5:$A$424,A195)&gt;1,"YES","No")</f>
        <v>No</v>
      </c>
      <c r="N195" s="7" t="str">
        <f aca="false">IF(OR(C195="UNMAPPED",D195="UNMAPPED",F195="No",H195="No",J195="No",K195="No",L195="UNMAPPED",M195="YES"),"NEEDS REVIEW","OK")</f>
        <v>OK</v>
      </c>
    </row>
    <row r="196" customFormat="false" ht="15" hidden="false" customHeight="false" outlineLevel="0" collapsed="false">
      <c r="A196" s="7" t="str">
        <f aca="false">'Raw_Data (Before)'!A196</f>
        <v>EMP0357</v>
      </c>
      <c r="B196" s="7" t="str">
        <f aca="false">PROPER(TRIM('Raw_Data (Before)'!B196))</f>
        <v>Mary Nwosu</v>
      </c>
      <c r="C196" s="7" t="str">
        <f aca="false">IFERROR(INDEX(Lookup_Tables!$B$5:$B$24,MATCH(UPPER(TRIM('Raw_Data (Before)'!C196)),Lookup_Tables!$A$5:$A$24,0)),"UNMAPPED")</f>
        <v>Operations</v>
      </c>
      <c r="D196" s="7" t="str">
        <f aca="false">IFERROR(INDEX(Lookup_Tables!$E$5:$E$8,MATCH(UPPER(TRIM('Raw_Data (Before)'!D196)),Lookup_Tables!$D$5:$D$8,0)),"UNMAPPED")</f>
        <v>Female</v>
      </c>
      <c r="E196" s="7" t="n">
        <f aca="false">'Raw_Data (Before)'!E196</f>
        <v>22</v>
      </c>
      <c r="F196" s="7" t="str">
        <f aca="false">IF(E196="","No",IF(OR(E196&lt;16,E196&gt;75),"No","Yes"))</f>
        <v>Yes</v>
      </c>
      <c r="G196" s="7" t="n">
        <f aca="false">IFERROR(VALUE(SUBSTITUTE(SUBSTITUTE('Raw_Data (Before)'!F196,"₦",""),",","")),"")</f>
        <v>785996</v>
      </c>
      <c r="H196" s="7" t="str">
        <f aca="false">IF(G196="","No",IF(OR(G196&lt;=0,G196&gt;5000000),"No","Yes"))</f>
        <v>Yes</v>
      </c>
      <c r="I196" s="8" t="n">
        <f aca="false">IFERROR(DATEVALUE('Raw_Data (Before)'!G196),"")</f>
        <v>44958</v>
      </c>
      <c r="J196" s="7" t="str">
        <f aca="false">IF(I196="","No","Yes")</f>
        <v>Yes</v>
      </c>
      <c r="K196" s="7" t="str">
        <f aca="false">IF(OR(ISERROR(FIND("@",'Raw_Data (Before)'!H196)),ISNUMBER(FIND("@@",'Raw_Data (Before)'!H196)),ISNUMBER(FIND(" ",'Raw_Data (Before)'!H196)),ISERROR(FIND(".",'Raw_Data (Before)'!H196,FIND("@",'Raw_Data (Before)'!H196)))),"No","Yes")</f>
        <v>Yes</v>
      </c>
      <c r="L196" s="7" t="str">
        <f aca="false">IFERROR(INDEX(Lookup_Tables!$H$5:$H$9,MATCH(UPPER(TRIM('Raw_Data (Before)'!I196)),Lookup_Tables!$G$5:$G$9,0)),"UNMAPPED")</f>
        <v>Active</v>
      </c>
      <c r="M196" s="7" t="str">
        <f aca="false">IF(COUNTIF('Raw_Data (Before)'!$A$5:$A$424,A196)&gt;1,"YES","No")</f>
        <v>No</v>
      </c>
      <c r="N196" s="7" t="str">
        <f aca="false">IF(OR(C196="UNMAPPED",D196="UNMAPPED",F196="No",H196="No",J196="No",K196="No",L196="UNMAPPED",M196="YES"),"NEEDS REVIEW","OK")</f>
        <v>OK</v>
      </c>
    </row>
    <row r="197" customFormat="false" ht="15" hidden="false" customHeight="false" outlineLevel="0" collapsed="false">
      <c r="A197" s="7" t="str">
        <f aca="false">'Raw_Data (Before)'!A197</f>
        <v>EMP0211</v>
      </c>
      <c r="B197" s="7" t="str">
        <f aca="false">PROPER(TRIM('Raw_Data (Before)'!B197))</f>
        <v>James Balogun</v>
      </c>
      <c r="C197" s="7" t="str">
        <f aca="false">IFERROR(INDEX(Lookup_Tables!$B$5:$B$24,MATCH(UPPER(TRIM('Raw_Data (Before)'!C197)),Lookup_Tables!$A$5:$A$24,0)),"UNMAPPED")</f>
        <v>Operations</v>
      </c>
      <c r="D197" s="7" t="str">
        <f aca="false">IFERROR(INDEX(Lookup_Tables!$E$5:$E$8,MATCH(UPPER(TRIM('Raw_Data (Before)'!D197)),Lookup_Tables!$D$5:$D$8,0)),"UNMAPPED")</f>
        <v>Male</v>
      </c>
      <c r="E197" s="7" t="n">
        <f aca="false">'Raw_Data (Before)'!E197</f>
        <v>51</v>
      </c>
      <c r="F197" s="7" t="str">
        <f aca="false">IF(E197="","No",IF(OR(E197&lt;16,E197&gt;75),"No","Yes"))</f>
        <v>Yes</v>
      </c>
      <c r="G197" s="7" t="n">
        <f aca="false">IFERROR(VALUE(SUBSTITUTE(SUBSTITUTE('Raw_Data (Before)'!F197,"₦",""),",","")),"")</f>
        <v>880387</v>
      </c>
      <c r="H197" s="7" t="str">
        <f aca="false">IF(G197="","No",IF(OR(G197&lt;=0,G197&gt;5000000),"No","Yes"))</f>
        <v>Yes</v>
      </c>
      <c r="I197" s="8" t="n">
        <f aca="false">IFERROR(DATEVALUE('Raw_Data (Before)'!G197),"")</f>
        <v>45635</v>
      </c>
      <c r="J197" s="7" t="str">
        <f aca="false">IF(I197="","No","Yes")</f>
        <v>Yes</v>
      </c>
      <c r="K197" s="7" t="str">
        <f aca="false">IF(OR(ISERROR(FIND("@",'Raw_Data (Before)'!H197)),ISNUMBER(FIND("@@",'Raw_Data (Before)'!H197)),ISNUMBER(FIND(" ",'Raw_Data (Before)'!H197)),ISERROR(FIND(".",'Raw_Data (Before)'!H197,FIND("@",'Raw_Data (Before)'!H197)))),"No","Yes")</f>
        <v>Yes</v>
      </c>
      <c r="L197" s="7" t="str">
        <f aca="false">IFERROR(INDEX(Lookup_Tables!$H$5:$H$9,MATCH(UPPER(TRIM('Raw_Data (Before)'!I197)),Lookup_Tables!$G$5:$G$9,0)),"UNMAPPED")</f>
        <v>Active</v>
      </c>
      <c r="M197" s="7" t="str">
        <f aca="false">IF(COUNTIF('Raw_Data (Before)'!$A$5:$A$424,A197)&gt;1,"YES","No")</f>
        <v>No</v>
      </c>
      <c r="N197" s="7" t="str">
        <f aca="false">IF(OR(C197="UNMAPPED",D197="UNMAPPED",F197="No",H197="No",J197="No",K197="No",L197="UNMAPPED",M197="YES"),"NEEDS REVIEW","OK")</f>
        <v>OK</v>
      </c>
    </row>
    <row r="198" customFormat="false" ht="15" hidden="false" customHeight="false" outlineLevel="0" collapsed="false">
      <c r="A198" s="7" t="str">
        <f aca="false">'Raw_Data (Before)'!A198</f>
        <v>EMP0148</v>
      </c>
      <c r="B198" s="7" t="str">
        <f aca="false">PROPER(TRIM('Raw_Data (Before)'!B198))</f>
        <v>Victor Adamu</v>
      </c>
      <c r="C198" s="7" t="str">
        <f aca="false">IFERROR(INDEX(Lookup_Tables!$B$5:$B$24,MATCH(UPPER(TRIM('Raw_Data (Before)'!C198)),Lookup_Tables!$A$5:$A$24,0)),"UNMAPPED")</f>
        <v>Sales</v>
      </c>
      <c r="D198" s="7" t="str">
        <f aca="false">IFERROR(INDEX(Lookup_Tables!$E$5:$E$8,MATCH(UPPER(TRIM('Raw_Data (Before)'!D198)),Lookup_Tables!$D$5:$D$8,0)),"UNMAPPED")</f>
        <v>Male</v>
      </c>
      <c r="E198" s="7" t="n">
        <f aca="false">'Raw_Data (Before)'!E198</f>
        <v>-5</v>
      </c>
      <c r="F198" s="7" t="str">
        <f aca="false">IF(E198="","No",IF(OR(E198&lt;16,E198&gt;75),"No","Yes"))</f>
        <v>No</v>
      </c>
      <c r="G198" s="7" t="n">
        <f aca="false">IFERROR(VALUE(SUBSTITUTE(SUBSTITUTE('Raw_Data (Before)'!F198,"₦",""),",","")),"")</f>
        <v>636582</v>
      </c>
      <c r="H198" s="7" t="str">
        <f aca="false">IF(G198="","No",IF(OR(G198&lt;=0,G198&gt;5000000),"No","Yes"))</f>
        <v>Yes</v>
      </c>
      <c r="I198" s="8" t="n">
        <f aca="false">IFERROR(DATEVALUE('Raw_Data (Before)'!G198),"")</f>
        <v>45817</v>
      </c>
      <c r="J198" s="7" t="str">
        <f aca="false">IF(I198="","No","Yes")</f>
        <v>Yes</v>
      </c>
      <c r="K198" s="7" t="str">
        <f aca="false">IF(OR(ISERROR(FIND("@",'Raw_Data (Before)'!H198)),ISNUMBER(FIND("@@",'Raw_Data (Before)'!H198)),ISNUMBER(FIND(" ",'Raw_Data (Before)'!H198)),ISERROR(FIND(".",'Raw_Data (Before)'!H198,FIND("@",'Raw_Data (Before)'!H198)))),"No","Yes")</f>
        <v>Yes</v>
      </c>
      <c r="L198" s="7" t="str">
        <f aca="false">IFERROR(INDEX(Lookup_Tables!$H$5:$H$9,MATCH(UPPER(TRIM('Raw_Data (Before)'!I198)),Lookup_Tables!$G$5:$G$9,0)),"UNMAPPED")</f>
        <v>Active</v>
      </c>
      <c r="M198" s="7" t="str">
        <f aca="false">IF(COUNTIF('Raw_Data (Before)'!$A$5:$A$424,A198)&gt;1,"YES","No")</f>
        <v>No</v>
      </c>
      <c r="N198" s="7" t="str">
        <f aca="false">IF(OR(C198="UNMAPPED",D198="UNMAPPED",F198="No",H198="No",J198="No",K198="No",L198="UNMAPPED",M198="YES"),"NEEDS REVIEW","OK")</f>
        <v>NEEDS REVIEW</v>
      </c>
    </row>
    <row r="199" customFormat="false" ht="15" hidden="false" customHeight="false" outlineLevel="0" collapsed="false">
      <c r="A199" s="7" t="str">
        <f aca="false">'Raw_Data (Before)'!A199</f>
        <v>EMP0185</v>
      </c>
      <c r="B199" s="7" t="str">
        <f aca="false">PROPER(TRIM('Raw_Data (Before)'!B199))</f>
        <v>John Chukwu</v>
      </c>
      <c r="C199" s="7" t="str">
        <f aca="false">IFERROR(INDEX(Lookup_Tables!$B$5:$B$24,MATCH(UPPER(TRIM('Raw_Data (Before)'!C199)),Lookup_Tables!$A$5:$A$24,0)),"UNMAPPED")</f>
        <v>Sales</v>
      </c>
      <c r="D199" s="7" t="str">
        <f aca="false">IFERROR(INDEX(Lookup_Tables!$E$5:$E$8,MATCH(UPPER(TRIM('Raw_Data (Before)'!D199)),Lookup_Tables!$D$5:$D$8,0)),"UNMAPPED")</f>
        <v>Female</v>
      </c>
      <c r="E199" s="7" t="n">
        <f aca="false">'Raw_Data (Before)'!E199</f>
        <v>39</v>
      </c>
      <c r="F199" s="7" t="str">
        <f aca="false">IF(E199="","No",IF(OR(E199&lt;16,E199&gt;75),"No","Yes"))</f>
        <v>Yes</v>
      </c>
      <c r="G199" s="7" t="n">
        <f aca="false">IFERROR(VALUE(SUBSTITUTE(SUBSTITUTE('Raw_Data (Before)'!F199,"₦",""),",","")),"")</f>
        <v>465758</v>
      </c>
      <c r="H199" s="7" t="str">
        <f aca="false">IF(G199="","No",IF(OR(G199&lt;=0,G199&gt;5000000),"No","Yes"))</f>
        <v>Yes</v>
      </c>
      <c r="I199" s="8" t="n">
        <f aca="false">IFERROR(DATEVALUE('Raw_Data (Before)'!G199),"")</f>
        <v>43204</v>
      </c>
      <c r="J199" s="7" t="str">
        <f aca="false">IF(I199="","No","Yes")</f>
        <v>Yes</v>
      </c>
      <c r="K199" s="7" t="str">
        <f aca="false">IF(OR(ISERROR(FIND("@",'Raw_Data (Before)'!H199)),ISNUMBER(FIND("@@",'Raw_Data (Before)'!H199)),ISNUMBER(FIND(" ",'Raw_Data (Before)'!H199)),ISERROR(FIND(".",'Raw_Data (Before)'!H199,FIND("@",'Raw_Data (Before)'!H199)))),"No","Yes")</f>
        <v>Yes</v>
      </c>
      <c r="L199" s="7" t="str">
        <f aca="false">IFERROR(INDEX(Lookup_Tables!$H$5:$H$9,MATCH(UPPER(TRIM('Raw_Data (Before)'!I199)),Lookup_Tables!$G$5:$G$9,0)),"UNMAPPED")</f>
        <v>Active</v>
      </c>
      <c r="M199" s="7" t="str">
        <f aca="false">IF(COUNTIF('Raw_Data (Before)'!$A$5:$A$424,A199)&gt;1,"YES","No")</f>
        <v>No</v>
      </c>
      <c r="N199" s="7" t="str">
        <f aca="false">IF(OR(C199="UNMAPPED",D199="UNMAPPED",F199="No",H199="No",J199="No",K199="No",L199="UNMAPPED",M199="YES"),"NEEDS REVIEW","OK")</f>
        <v>OK</v>
      </c>
    </row>
    <row r="200" customFormat="false" ht="15" hidden="false" customHeight="false" outlineLevel="0" collapsed="false">
      <c r="A200" s="7" t="str">
        <f aca="false">'Raw_Data (Before)'!A200</f>
        <v>EMP0306</v>
      </c>
      <c r="B200" s="7" t="str">
        <f aca="false">PROPER(TRIM('Raw_Data (Before)'!B200))</f>
        <v>Yusuf Okonkwo</v>
      </c>
      <c r="C200" s="7" t="str">
        <f aca="false">IFERROR(INDEX(Lookup_Tables!$B$5:$B$24,MATCH(UPPER(TRIM('Raw_Data (Before)'!C200)),Lookup_Tables!$A$5:$A$24,0)),"UNMAPPED")</f>
        <v>Marketing</v>
      </c>
      <c r="D200" s="7" t="str">
        <f aca="false">IFERROR(INDEX(Lookup_Tables!$E$5:$E$8,MATCH(UPPER(TRIM('Raw_Data (Before)'!D200)),Lookup_Tables!$D$5:$D$8,0)),"UNMAPPED")</f>
        <v>Male</v>
      </c>
      <c r="E200" s="7" t="n">
        <f aca="false">'Raw_Data (Before)'!E200</f>
        <v>51</v>
      </c>
      <c r="F200" s="7" t="str">
        <f aca="false">IF(E200="","No",IF(OR(E200&lt;16,E200&gt;75),"No","Yes"))</f>
        <v>Yes</v>
      </c>
      <c r="G200" s="7" t="n">
        <f aca="false">IFERROR(VALUE(SUBSTITUTE(SUBSTITUTE('Raw_Data (Before)'!F200,"₦",""),",","")),"")</f>
        <v>584973</v>
      </c>
      <c r="H200" s="7" t="str">
        <f aca="false">IF(G200="","No",IF(OR(G200&lt;=0,G200&gt;5000000),"No","Yes"))</f>
        <v>Yes</v>
      </c>
      <c r="I200" s="8" t="n">
        <f aca="false">IFERROR(DATEVALUE('Raw_Data (Before)'!G200),"")</f>
        <v>43291</v>
      </c>
      <c r="J200" s="7" t="str">
        <f aca="false">IF(I200="","No","Yes")</f>
        <v>Yes</v>
      </c>
      <c r="K200" s="7" t="str">
        <f aca="false">IF(OR(ISERROR(FIND("@",'Raw_Data (Before)'!H200)),ISNUMBER(FIND("@@",'Raw_Data (Before)'!H200)),ISNUMBER(FIND(" ",'Raw_Data (Before)'!H200)),ISERROR(FIND(".",'Raw_Data (Before)'!H200,FIND("@",'Raw_Data (Before)'!H200)))),"No","Yes")</f>
        <v>Yes</v>
      </c>
      <c r="L200" s="7" t="str">
        <f aca="false">IFERROR(INDEX(Lookup_Tables!$H$5:$H$9,MATCH(UPPER(TRIM('Raw_Data (Before)'!I200)),Lookup_Tables!$G$5:$G$9,0)),"UNMAPPED")</f>
        <v>Active</v>
      </c>
      <c r="M200" s="7" t="str">
        <f aca="false">IF(COUNTIF('Raw_Data (Before)'!$A$5:$A$424,A200)&gt;1,"YES","No")</f>
        <v>No</v>
      </c>
      <c r="N200" s="7" t="str">
        <f aca="false">IF(OR(C200="UNMAPPED",D200="UNMAPPED",F200="No",H200="No",J200="No",K200="No",L200="UNMAPPED",M200="YES"),"NEEDS REVIEW","OK")</f>
        <v>OK</v>
      </c>
    </row>
    <row r="201" customFormat="false" ht="15" hidden="false" customHeight="false" outlineLevel="0" collapsed="false">
      <c r="A201" s="7" t="str">
        <f aca="false">'Raw_Data (Before)'!A201</f>
        <v>EMP0210</v>
      </c>
      <c r="B201" s="7" t="str">
        <f aca="false">PROPER(TRIM('Raw_Data (Before)'!B201))</f>
        <v>Grace Umeh</v>
      </c>
      <c r="C201" s="7" t="str">
        <f aca="false">IFERROR(INDEX(Lookup_Tables!$B$5:$B$24,MATCH(UPPER(TRIM('Raw_Data (Before)'!C201)),Lookup_Tables!$A$5:$A$24,0)),"UNMAPPED")</f>
        <v>IT</v>
      </c>
      <c r="D201" s="7" t="str">
        <f aca="false">IFERROR(INDEX(Lookup_Tables!$E$5:$E$8,MATCH(UPPER(TRIM('Raw_Data (Before)'!D201)),Lookup_Tables!$D$5:$D$8,0)),"UNMAPPED")</f>
        <v>Male</v>
      </c>
      <c r="E201" s="7" t="n">
        <f aca="false">'Raw_Data (Before)'!E201</f>
        <v>5</v>
      </c>
      <c r="F201" s="7" t="str">
        <f aca="false">IF(E201="","No",IF(OR(E201&lt;16,E201&gt;75),"No","Yes"))</f>
        <v>No</v>
      </c>
      <c r="G201" s="7" t="n">
        <f aca="false">IFERROR(VALUE(SUBSTITUTE(SUBSTITUTE('Raw_Data (Before)'!F201,"₦",""),",","")),"")</f>
        <v>229587</v>
      </c>
      <c r="H201" s="7" t="str">
        <f aca="false">IF(G201="","No",IF(OR(G201&lt;=0,G201&gt;5000000),"No","Yes"))</f>
        <v>Yes</v>
      </c>
      <c r="I201" s="8" t="n">
        <f aca="false">IFERROR(DATEVALUE('Raw_Data (Before)'!G201),"")</f>
        <v>43565</v>
      </c>
      <c r="J201" s="7" t="str">
        <f aca="false">IF(I201="","No","Yes")</f>
        <v>Yes</v>
      </c>
      <c r="K201" s="7" t="str">
        <f aca="false">IF(OR(ISERROR(FIND("@",'Raw_Data (Before)'!H201)),ISNUMBER(FIND("@@",'Raw_Data (Before)'!H201)),ISNUMBER(FIND(" ",'Raw_Data (Before)'!H201)),ISERROR(FIND(".",'Raw_Data (Before)'!H201,FIND("@",'Raw_Data (Before)'!H201)))),"No","Yes")</f>
        <v>Yes</v>
      </c>
      <c r="L201" s="7" t="str">
        <f aca="false">IFERROR(INDEX(Lookup_Tables!$H$5:$H$9,MATCH(UPPER(TRIM('Raw_Data (Before)'!I201)),Lookup_Tables!$G$5:$G$9,0)),"UNMAPPED")</f>
        <v>Active</v>
      </c>
      <c r="M201" s="7" t="str">
        <f aca="false">IF(COUNTIF('Raw_Data (Before)'!$A$5:$A$424,A201)&gt;1,"YES","No")</f>
        <v>No</v>
      </c>
      <c r="N201" s="7" t="str">
        <f aca="false">IF(OR(C201="UNMAPPED",D201="UNMAPPED",F201="No",H201="No",J201="No",K201="No",L201="UNMAPPED",M201="YES"),"NEEDS REVIEW","OK")</f>
        <v>NEEDS REVIEW</v>
      </c>
    </row>
    <row r="202" customFormat="false" ht="15" hidden="false" customHeight="false" outlineLevel="0" collapsed="false">
      <c r="A202" s="7" t="str">
        <f aca="false">'Raw_Data (Before)'!A202</f>
        <v>EMP0241</v>
      </c>
      <c r="B202" s="7" t="str">
        <f aca="false">PROPER(TRIM('Raw_Data (Before)'!B202))</f>
        <v>David Sani</v>
      </c>
      <c r="C202" s="7" t="str">
        <f aca="false">IFERROR(INDEX(Lookup_Tables!$B$5:$B$24,MATCH(UPPER(TRIM('Raw_Data (Before)'!C202)),Lookup_Tables!$A$5:$A$24,0)),"UNMAPPED")</f>
        <v>Marketing</v>
      </c>
      <c r="D202" s="7" t="str">
        <f aca="false">IFERROR(INDEX(Lookup_Tables!$E$5:$E$8,MATCH(UPPER(TRIM('Raw_Data (Before)'!D202)),Lookup_Tables!$D$5:$D$8,0)),"UNMAPPED")</f>
        <v>Female</v>
      </c>
      <c r="E202" s="7" t="n">
        <f aca="false">'Raw_Data (Before)'!E202</f>
        <v>39</v>
      </c>
      <c r="F202" s="7" t="str">
        <f aca="false">IF(E202="","No",IF(OR(E202&lt;16,E202&gt;75),"No","Yes"))</f>
        <v>Yes</v>
      </c>
      <c r="G202" s="7" t="n">
        <f aca="false">IFERROR(VALUE(SUBSTITUTE(SUBSTITUTE('Raw_Data (Before)'!F202,"₦",""),",","")),"")</f>
        <v>874997</v>
      </c>
      <c r="H202" s="7" t="str">
        <f aca="false">IF(G202="","No",IF(OR(G202&lt;=0,G202&gt;5000000),"No","Yes"))</f>
        <v>Yes</v>
      </c>
      <c r="I202" s="8" t="str">
        <f aca="false">IFERROR(DATEVALUE('Raw_Data (Before)'!G202),"")</f>
        <v/>
      </c>
      <c r="J202" s="7" t="str">
        <f aca="false">IF(I202="","No","Yes")</f>
        <v>No</v>
      </c>
      <c r="K202" s="7" t="str">
        <f aca="false">IF(OR(ISERROR(FIND("@",'Raw_Data (Before)'!H202)),ISNUMBER(FIND("@@",'Raw_Data (Before)'!H202)),ISNUMBER(FIND(" ",'Raw_Data (Before)'!H202)),ISERROR(FIND(".",'Raw_Data (Before)'!H202,FIND("@",'Raw_Data (Before)'!H202)))),"No","Yes")</f>
        <v>Yes</v>
      </c>
      <c r="L202" s="7" t="str">
        <f aca="false">IFERROR(INDEX(Lookup_Tables!$H$5:$H$9,MATCH(UPPER(TRIM('Raw_Data (Before)'!I202)),Lookup_Tables!$G$5:$G$9,0)),"UNMAPPED")</f>
        <v>Inactive</v>
      </c>
      <c r="M202" s="7" t="str">
        <f aca="false">IF(COUNTIF('Raw_Data (Before)'!$A$5:$A$424,A202)&gt;1,"YES","No")</f>
        <v>No</v>
      </c>
      <c r="N202" s="7" t="str">
        <f aca="false">IF(OR(C202="UNMAPPED",D202="UNMAPPED",F202="No",H202="No",J202="No",K202="No",L202="UNMAPPED",M202="YES"),"NEEDS REVIEW","OK")</f>
        <v>NEEDS REVIEW</v>
      </c>
    </row>
    <row r="203" customFormat="false" ht="15" hidden="false" customHeight="false" outlineLevel="0" collapsed="false">
      <c r="A203" s="7" t="str">
        <f aca="false">'Raw_Data (Before)'!A203</f>
        <v>EMP0072</v>
      </c>
      <c r="B203" s="7" t="str">
        <f aca="false">PROPER(TRIM('Raw_Data (Before)'!B203))</f>
        <v>Chinedu Ogundipe</v>
      </c>
      <c r="C203" s="7" t="str">
        <f aca="false">IFERROR(INDEX(Lookup_Tables!$B$5:$B$24,MATCH(UPPER(TRIM('Raw_Data (Before)'!C203)),Lookup_Tables!$A$5:$A$24,0)),"UNMAPPED")</f>
        <v>Marketing</v>
      </c>
      <c r="D203" s="7" t="str">
        <f aca="false">IFERROR(INDEX(Lookup_Tables!$E$5:$E$8,MATCH(UPPER(TRIM('Raw_Data (Before)'!D203)),Lookup_Tables!$D$5:$D$8,0)),"UNMAPPED")</f>
        <v>Male</v>
      </c>
      <c r="E203" s="7" t="n">
        <f aca="false">'Raw_Data (Before)'!E203</f>
        <v>23</v>
      </c>
      <c r="F203" s="7" t="str">
        <f aca="false">IF(E203="","No",IF(OR(E203&lt;16,E203&gt;75),"No","Yes"))</f>
        <v>Yes</v>
      </c>
      <c r="G203" s="7" t="n">
        <f aca="false">IFERROR(VALUE(SUBSTITUTE(SUBSTITUTE('Raw_Data (Before)'!F203,"₦",""),",","")),"")</f>
        <v>499163</v>
      </c>
      <c r="H203" s="7" t="str">
        <f aca="false">IF(G203="","No",IF(OR(G203&lt;=0,G203&gt;5000000),"No","Yes"))</f>
        <v>Yes</v>
      </c>
      <c r="I203" s="8" t="str">
        <f aca="false">IFERROR(DATEVALUE('Raw_Data (Before)'!G203),"")</f>
        <v/>
      </c>
      <c r="J203" s="7" t="str">
        <f aca="false">IF(I203="","No","Yes")</f>
        <v>No</v>
      </c>
      <c r="K203" s="7" t="str">
        <f aca="false">IF(OR(ISERROR(FIND("@",'Raw_Data (Before)'!H203)),ISNUMBER(FIND("@@",'Raw_Data (Before)'!H203)),ISNUMBER(FIND(" ",'Raw_Data (Before)'!H203)),ISERROR(FIND(".",'Raw_Data (Before)'!H203,FIND("@",'Raw_Data (Before)'!H203)))),"No","Yes")</f>
        <v>Yes</v>
      </c>
      <c r="L203" s="7" t="str">
        <f aca="false">IFERROR(INDEX(Lookup_Tables!$H$5:$H$9,MATCH(UPPER(TRIM('Raw_Data (Before)'!I203)),Lookup_Tables!$G$5:$G$9,0)),"UNMAPPED")</f>
        <v>Active</v>
      </c>
      <c r="M203" s="7" t="str">
        <f aca="false">IF(COUNTIF('Raw_Data (Before)'!$A$5:$A$424,A203)&gt;1,"YES","No")</f>
        <v>No</v>
      </c>
      <c r="N203" s="7" t="str">
        <f aca="false">IF(OR(C203="UNMAPPED",D203="UNMAPPED",F203="No",H203="No",J203="No",K203="No",L203="UNMAPPED",M203="YES"),"NEEDS REVIEW","OK")</f>
        <v>NEEDS REVIEW</v>
      </c>
    </row>
    <row r="204" customFormat="false" ht="15" hidden="false" customHeight="false" outlineLevel="0" collapsed="false">
      <c r="A204" s="7" t="str">
        <f aca="false">'Raw_Data (Before)'!A204</f>
        <v>EMP0100</v>
      </c>
      <c r="B204" s="7" t="str">
        <f aca="false">PROPER(TRIM('Raw_Data (Before)'!B204))</f>
        <v>John Abubakar</v>
      </c>
      <c r="C204" s="7" t="str">
        <f aca="false">IFERROR(INDEX(Lookup_Tables!$B$5:$B$24,MATCH(UPPER(TRIM('Raw_Data (Before)'!C204)),Lookup_Tables!$A$5:$A$24,0)),"UNMAPPED")</f>
        <v>Customer Service</v>
      </c>
      <c r="D204" s="7" t="str">
        <f aca="false">IFERROR(INDEX(Lookup_Tables!$E$5:$E$8,MATCH(UPPER(TRIM('Raw_Data (Before)'!D204)),Lookup_Tables!$D$5:$D$8,0)),"UNMAPPED")</f>
        <v>Male</v>
      </c>
      <c r="E204" s="7" t="n">
        <f aca="false">'Raw_Data (Before)'!E204</f>
        <v>59</v>
      </c>
      <c r="F204" s="7" t="str">
        <f aca="false">IF(E204="","No",IF(OR(E204&lt;16,E204&gt;75),"No","Yes"))</f>
        <v>Yes</v>
      </c>
      <c r="G204" s="7" t="n">
        <f aca="false">IFERROR(VALUE(SUBSTITUTE(SUBSTITUTE('Raw_Data (Before)'!F204,"₦",""),",","")),"")</f>
        <v>854101</v>
      </c>
      <c r="H204" s="7" t="str">
        <f aca="false">IF(G204="","No",IF(OR(G204&lt;=0,G204&gt;5000000),"No","Yes"))</f>
        <v>Yes</v>
      </c>
      <c r="I204" s="8" t="str">
        <f aca="false">IFERROR(DATEVALUE('Raw_Data (Before)'!G204),"")</f>
        <v/>
      </c>
      <c r="J204" s="7" t="str">
        <f aca="false">IF(I204="","No","Yes")</f>
        <v>No</v>
      </c>
      <c r="K204" s="7" t="str">
        <f aca="false">IF(OR(ISERROR(FIND("@",'Raw_Data (Before)'!H204)),ISNUMBER(FIND("@@",'Raw_Data (Before)'!H204)),ISNUMBER(FIND(" ",'Raw_Data (Before)'!H204)),ISERROR(FIND(".",'Raw_Data (Before)'!H204,FIND("@",'Raw_Data (Before)'!H204)))),"No","Yes")</f>
        <v>Yes</v>
      </c>
      <c r="L204" s="7" t="str">
        <f aca="false">IFERROR(INDEX(Lookup_Tables!$H$5:$H$9,MATCH(UPPER(TRIM('Raw_Data (Before)'!I204)),Lookup_Tables!$G$5:$G$9,0)),"UNMAPPED")</f>
        <v>Inactive</v>
      </c>
      <c r="M204" s="7" t="str">
        <f aca="false">IF(COUNTIF('Raw_Data (Before)'!$A$5:$A$424,A204)&gt;1,"YES","No")</f>
        <v>No</v>
      </c>
      <c r="N204" s="7" t="str">
        <f aca="false">IF(OR(C204="UNMAPPED",D204="UNMAPPED",F204="No",H204="No",J204="No",K204="No",L204="UNMAPPED",M204="YES"),"NEEDS REVIEW","OK")</f>
        <v>NEEDS REVIEW</v>
      </c>
    </row>
    <row r="205" customFormat="false" ht="15" hidden="false" customHeight="false" outlineLevel="0" collapsed="false">
      <c r="A205" s="7" t="str">
        <f aca="false">'Raw_Data (Before)'!A205</f>
        <v>EMP0212</v>
      </c>
      <c r="B205" s="7" t="str">
        <f aca="false">PROPER(TRIM('Raw_Data (Before)'!B205))</f>
        <v>Daniel Adamu</v>
      </c>
      <c r="C205" s="7" t="str">
        <f aca="false">IFERROR(INDEX(Lookup_Tables!$B$5:$B$24,MATCH(UPPER(TRIM('Raw_Data (Before)'!C205)),Lookup_Tables!$A$5:$A$24,0)),"UNMAPPED")</f>
        <v>Operations</v>
      </c>
      <c r="D205" s="7" t="str">
        <f aca="false">IFERROR(INDEX(Lookup_Tables!$E$5:$E$8,MATCH(UPPER(TRIM('Raw_Data (Before)'!D205)),Lookup_Tables!$D$5:$D$8,0)),"UNMAPPED")</f>
        <v>Female</v>
      </c>
      <c r="E205" s="7" t="n">
        <f aca="false">'Raw_Data (Before)'!E205</f>
        <v>44</v>
      </c>
      <c r="F205" s="7" t="str">
        <f aca="false">IF(E205="","No",IF(OR(E205&lt;16,E205&gt;75),"No","Yes"))</f>
        <v>Yes</v>
      </c>
      <c r="G205" s="7" t="n">
        <f aca="false">IFERROR(VALUE(SUBSTITUTE(SUBSTITUTE('Raw_Data (Before)'!F205,"₦",""),",","")),"")</f>
        <v>237908</v>
      </c>
      <c r="H205" s="7" t="str">
        <f aca="false">IF(G205="","No",IF(OR(G205&lt;=0,G205&gt;5000000),"No","Yes"))</f>
        <v>Yes</v>
      </c>
      <c r="I205" s="8" t="n">
        <f aca="false">IFERROR(DATEVALUE('Raw_Data (Before)'!G205),"")</f>
        <v>43509</v>
      </c>
      <c r="J205" s="7" t="str">
        <f aca="false">IF(I205="","No","Yes")</f>
        <v>Yes</v>
      </c>
      <c r="K205" s="7" t="str">
        <f aca="false">IF(OR(ISERROR(FIND("@",'Raw_Data (Before)'!H205)),ISNUMBER(FIND("@@",'Raw_Data (Before)'!H205)),ISNUMBER(FIND(" ",'Raw_Data (Before)'!H205)),ISERROR(FIND(".",'Raw_Data (Before)'!H205,FIND("@",'Raw_Data (Before)'!H205)))),"No","Yes")</f>
        <v>Yes</v>
      </c>
      <c r="L205" s="7" t="str">
        <f aca="false">IFERROR(INDEX(Lookup_Tables!$H$5:$H$9,MATCH(UPPER(TRIM('Raw_Data (Before)'!I205)),Lookup_Tables!$G$5:$G$9,0)),"UNMAPPED")</f>
        <v>Active</v>
      </c>
      <c r="M205" s="7" t="str">
        <f aca="false">IF(COUNTIF('Raw_Data (Before)'!$A$5:$A$424,A205)&gt;1,"YES","No")</f>
        <v>No</v>
      </c>
      <c r="N205" s="7" t="str">
        <f aca="false">IF(OR(C205="UNMAPPED",D205="UNMAPPED",F205="No",H205="No",J205="No",K205="No",L205="UNMAPPED",M205="YES"),"NEEDS REVIEW","OK")</f>
        <v>OK</v>
      </c>
    </row>
    <row r="206" customFormat="false" ht="15" hidden="false" customHeight="false" outlineLevel="0" collapsed="false">
      <c r="A206" s="7" t="str">
        <f aca="false">'Raw_Data (Before)'!A206</f>
        <v>EMP0044</v>
      </c>
      <c r="B206" s="7" t="str">
        <f aca="false">PROPER(TRIM('Raw_Data (Before)'!B206))</f>
        <v>Ibrahim Duru</v>
      </c>
      <c r="C206" s="7" t="str">
        <f aca="false">IFERROR(INDEX(Lookup_Tables!$B$5:$B$24,MATCH(UPPER(TRIM('Raw_Data (Before)'!C206)),Lookup_Tables!$A$5:$A$24,0)),"UNMAPPED")</f>
        <v>Customer Service</v>
      </c>
      <c r="D206" s="7" t="str">
        <f aca="false">IFERROR(INDEX(Lookup_Tables!$E$5:$E$8,MATCH(UPPER(TRIM('Raw_Data (Before)'!D206)),Lookup_Tables!$D$5:$D$8,0)),"UNMAPPED")</f>
        <v>Male</v>
      </c>
      <c r="E206" s="7" t="n">
        <f aca="false">'Raw_Data (Before)'!E206</f>
        <v>39</v>
      </c>
      <c r="F206" s="7" t="str">
        <f aca="false">IF(E206="","No",IF(OR(E206&lt;16,E206&gt;75),"No","Yes"))</f>
        <v>Yes</v>
      </c>
      <c r="G206" s="7" t="str">
        <f aca="false">IFERROR(VALUE(SUBSTITUTE(SUBSTITUTE('Raw_Data (Before)'!F206,"₦",""),",","")),"")</f>
        <v/>
      </c>
      <c r="H206" s="7" t="str">
        <f aca="false">IF(G206="","No",IF(OR(G206&lt;=0,G206&gt;5000000),"No","Yes"))</f>
        <v>No</v>
      </c>
      <c r="I206" s="8" t="n">
        <f aca="false">IFERROR(DATEVALUE('Raw_Data (Before)'!G206),"")</f>
        <v>44947</v>
      </c>
      <c r="J206" s="7" t="str">
        <f aca="false">IF(I206="","No","Yes")</f>
        <v>Yes</v>
      </c>
      <c r="K206" s="7" t="str">
        <f aca="false">IF(OR(ISERROR(FIND("@",'Raw_Data (Before)'!H206)),ISNUMBER(FIND("@@",'Raw_Data (Before)'!H206)),ISNUMBER(FIND(" ",'Raw_Data (Before)'!H206)),ISERROR(FIND(".",'Raw_Data (Before)'!H206,FIND("@",'Raw_Data (Before)'!H206)))),"No","Yes")</f>
        <v>Yes</v>
      </c>
      <c r="L206" s="7" t="str">
        <f aca="false">IFERROR(INDEX(Lookup_Tables!$H$5:$H$9,MATCH(UPPER(TRIM('Raw_Data (Before)'!I206)),Lookup_Tables!$G$5:$G$9,0)),"UNMAPPED")</f>
        <v>Active</v>
      </c>
      <c r="M206" s="7" t="str">
        <f aca="false">IF(COUNTIF('Raw_Data (Before)'!$A$5:$A$424,A206)&gt;1,"YES","No")</f>
        <v>YES</v>
      </c>
      <c r="N206" s="7" t="str">
        <f aca="false">IF(OR(C206="UNMAPPED",D206="UNMAPPED",F206="No",H206="No",J206="No",K206="No",L206="UNMAPPED",M206="YES"),"NEEDS REVIEW","OK")</f>
        <v>NEEDS REVIEW</v>
      </c>
    </row>
    <row r="207" customFormat="false" ht="15" hidden="false" customHeight="false" outlineLevel="0" collapsed="false">
      <c r="A207" s="7" t="str">
        <f aca="false">'Raw_Data (Before)'!A207</f>
        <v>EMP0381</v>
      </c>
      <c r="B207" s="7" t="str">
        <f aca="false">PROPER(TRIM('Raw_Data (Before)'!B207))</f>
        <v>Bisi Eze</v>
      </c>
      <c r="C207" s="7" t="str">
        <f aca="false">IFERROR(INDEX(Lookup_Tables!$B$5:$B$24,MATCH(UPPER(TRIM('Raw_Data (Before)'!C207)),Lookup_Tables!$A$5:$A$24,0)),"UNMAPPED")</f>
        <v>IT</v>
      </c>
      <c r="D207" s="7" t="str">
        <f aca="false">IFERROR(INDEX(Lookup_Tables!$E$5:$E$8,MATCH(UPPER(TRIM('Raw_Data (Before)'!D207)),Lookup_Tables!$D$5:$D$8,0)),"UNMAPPED")</f>
        <v>Female</v>
      </c>
      <c r="E207" s="7" t="n">
        <f aca="false">'Raw_Data (Before)'!E207</f>
        <v>34</v>
      </c>
      <c r="F207" s="7" t="str">
        <f aca="false">IF(E207="","No",IF(OR(E207&lt;16,E207&gt;75),"No","Yes"))</f>
        <v>Yes</v>
      </c>
      <c r="G207" s="7" t="n">
        <f aca="false">IFERROR(VALUE(SUBSTITUTE(SUBSTITUTE('Raw_Data (Before)'!F207,"₦",""),",","")),"")</f>
        <v>534349</v>
      </c>
      <c r="H207" s="7" t="str">
        <f aca="false">IF(G207="","No",IF(OR(G207&lt;=0,G207&gt;5000000),"No","Yes"))</f>
        <v>Yes</v>
      </c>
      <c r="I207" s="8" t="n">
        <f aca="false">IFERROR(DATEVALUE('Raw_Data (Before)'!G207),"")</f>
        <v>45192</v>
      </c>
      <c r="J207" s="7" t="str">
        <f aca="false">IF(I207="","No","Yes")</f>
        <v>Yes</v>
      </c>
      <c r="K207" s="7" t="str">
        <f aca="false">IF(OR(ISERROR(FIND("@",'Raw_Data (Before)'!H207)),ISNUMBER(FIND("@@",'Raw_Data (Before)'!H207)),ISNUMBER(FIND(" ",'Raw_Data (Before)'!H207)),ISERROR(FIND(".",'Raw_Data (Before)'!H207,FIND("@",'Raw_Data (Before)'!H207)))),"No","Yes")</f>
        <v>Yes</v>
      </c>
      <c r="L207" s="7" t="str">
        <f aca="false">IFERROR(INDEX(Lookup_Tables!$H$5:$H$9,MATCH(UPPER(TRIM('Raw_Data (Before)'!I207)),Lookup_Tables!$G$5:$G$9,0)),"UNMAPPED")</f>
        <v>Active</v>
      </c>
      <c r="M207" s="7" t="str">
        <f aca="false">IF(COUNTIF('Raw_Data (Before)'!$A$5:$A$424,A207)&gt;1,"YES","No")</f>
        <v>No</v>
      </c>
      <c r="N207" s="7" t="str">
        <f aca="false">IF(OR(C207="UNMAPPED",D207="UNMAPPED",F207="No",H207="No",J207="No",K207="No",L207="UNMAPPED",M207="YES"),"NEEDS REVIEW","OK")</f>
        <v>OK</v>
      </c>
    </row>
    <row r="208" customFormat="false" ht="15" hidden="false" customHeight="false" outlineLevel="0" collapsed="false">
      <c r="A208" s="7" t="str">
        <f aca="false">'Raw_Data (Before)'!A208</f>
        <v>EMP0339</v>
      </c>
      <c r="B208" s="7" t="str">
        <f aca="false">PROPER(TRIM('Raw_Data (Before)'!B208))</f>
        <v>Kemi Yakubu</v>
      </c>
      <c r="C208" s="7" t="str">
        <f aca="false">IFERROR(INDEX(Lookup_Tables!$B$5:$B$24,MATCH(UPPER(TRIM('Raw_Data (Before)'!C208)),Lookup_Tables!$A$5:$A$24,0)),"UNMAPPED")</f>
        <v>HR</v>
      </c>
      <c r="D208" s="7" t="str">
        <f aca="false">IFERROR(INDEX(Lookup_Tables!$E$5:$E$8,MATCH(UPPER(TRIM('Raw_Data (Before)'!D208)),Lookup_Tables!$D$5:$D$8,0)),"UNMAPPED")</f>
        <v>Female</v>
      </c>
      <c r="E208" s="7" t="n">
        <f aca="false">'Raw_Data (Before)'!E208</f>
        <v>59</v>
      </c>
      <c r="F208" s="7" t="str">
        <f aca="false">IF(E208="","No",IF(OR(E208&lt;16,E208&gt;75),"No","Yes"))</f>
        <v>Yes</v>
      </c>
      <c r="G208" s="7" t="n">
        <f aca="false">IFERROR(VALUE(SUBSTITUTE(SUBSTITUTE('Raw_Data (Before)'!F208,"₦",""),",","")),"")</f>
        <v>696025</v>
      </c>
      <c r="H208" s="7" t="str">
        <f aca="false">IF(G208="","No",IF(OR(G208&lt;=0,G208&gt;5000000),"No","Yes"))</f>
        <v>Yes</v>
      </c>
      <c r="I208" s="8" t="n">
        <f aca="false">IFERROR(DATEVALUE('Raw_Data (Before)'!G208),"")</f>
        <v>44543</v>
      </c>
      <c r="J208" s="7" t="str">
        <f aca="false">IF(I208="","No","Yes")</f>
        <v>Yes</v>
      </c>
      <c r="K208" s="7" t="str">
        <f aca="false">IF(OR(ISERROR(FIND("@",'Raw_Data (Before)'!H208)),ISNUMBER(FIND("@@",'Raw_Data (Before)'!H208)),ISNUMBER(FIND(" ",'Raw_Data (Before)'!H208)),ISERROR(FIND(".",'Raw_Data (Before)'!H208,FIND("@",'Raw_Data (Before)'!H208)))),"No","Yes")</f>
        <v>Yes</v>
      </c>
      <c r="L208" s="7" t="str">
        <f aca="false">IFERROR(INDEX(Lookup_Tables!$H$5:$H$9,MATCH(UPPER(TRIM('Raw_Data (Before)'!I208)),Lookup_Tables!$G$5:$G$9,0)),"UNMAPPED")</f>
        <v>Inactive</v>
      </c>
      <c r="M208" s="7" t="str">
        <f aca="false">IF(COUNTIF('Raw_Data (Before)'!$A$5:$A$424,A208)&gt;1,"YES","No")</f>
        <v>No</v>
      </c>
      <c r="N208" s="7" t="str">
        <f aca="false">IF(OR(C208="UNMAPPED",D208="UNMAPPED",F208="No",H208="No",J208="No",K208="No",L208="UNMAPPED",M208="YES"),"NEEDS REVIEW","OK")</f>
        <v>OK</v>
      </c>
    </row>
    <row r="209" customFormat="false" ht="15" hidden="false" customHeight="false" outlineLevel="0" collapsed="false">
      <c r="A209" s="7" t="str">
        <f aca="false">'Raw_Data (Before)'!A209</f>
        <v>EMP0039</v>
      </c>
      <c r="B209" s="7" t="str">
        <f aca="false">PROPER(TRIM('Raw_Data (Before)'!B209))</f>
        <v>Ahmed Nnamdi</v>
      </c>
      <c r="C209" s="7" t="str">
        <f aca="false">IFERROR(INDEX(Lookup_Tables!$B$5:$B$24,MATCH(UPPER(TRIM('Raw_Data (Before)'!C209)),Lookup_Tables!$A$5:$A$24,0)),"UNMAPPED")</f>
        <v>Operations</v>
      </c>
      <c r="D209" s="7" t="str">
        <f aca="false">IFERROR(INDEX(Lookup_Tables!$E$5:$E$8,MATCH(UPPER(TRIM('Raw_Data (Before)'!D209)),Lookup_Tables!$D$5:$D$8,0)),"UNMAPPED")</f>
        <v>Female</v>
      </c>
      <c r="E209" s="7" t="n">
        <f aca="false">'Raw_Data (Before)'!E209</f>
        <v>22</v>
      </c>
      <c r="F209" s="7" t="str">
        <f aca="false">IF(E209="","No",IF(OR(E209&lt;16,E209&gt;75),"No","Yes"))</f>
        <v>Yes</v>
      </c>
      <c r="G209" s="7" t="n">
        <f aca="false">IFERROR(VALUE(SUBSTITUTE(SUBSTITUTE('Raw_Data (Before)'!F209,"₦",""),",","")),"")</f>
        <v>383655</v>
      </c>
      <c r="H209" s="7" t="str">
        <f aca="false">IF(G209="","No",IF(OR(G209&lt;=0,G209&gt;5000000),"No","Yes"))</f>
        <v>Yes</v>
      </c>
      <c r="I209" s="8" t="str">
        <f aca="false">IFERROR(DATEVALUE('Raw_Data (Before)'!G209),"")</f>
        <v/>
      </c>
      <c r="J209" s="7" t="str">
        <f aca="false">IF(I209="","No","Yes")</f>
        <v>No</v>
      </c>
      <c r="K209" s="7" t="str">
        <f aca="false">IF(OR(ISERROR(FIND("@",'Raw_Data (Before)'!H209)),ISNUMBER(FIND("@@",'Raw_Data (Before)'!H209)),ISNUMBER(FIND(" ",'Raw_Data (Before)'!H209)),ISERROR(FIND(".",'Raw_Data (Before)'!H209,FIND("@",'Raw_Data (Before)'!H209)))),"No","Yes")</f>
        <v>Yes</v>
      </c>
      <c r="L209" s="7" t="str">
        <f aca="false">IFERROR(INDEX(Lookup_Tables!$H$5:$H$9,MATCH(UPPER(TRIM('Raw_Data (Before)'!I209)),Lookup_Tables!$G$5:$G$9,0)),"UNMAPPED")</f>
        <v>Active</v>
      </c>
      <c r="M209" s="7" t="str">
        <f aca="false">IF(COUNTIF('Raw_Data (Before)'!$A$5:$A$424,A209)&gt;1,"YES","No")</f>
        <v>No</v>
      </c>
      <c r="N209" s="7" t="str">
        <f aca="false">IF(OR(C209="UNMAPPED",D209="UNMAPPED",F209="No",H209="No",J209="No",K209="No",L209="UNMAPPED",M209="YES"),"NEEDS REVIEW","OK")</f>
        <v>NEEDS REVIEW</v>
      </c>
    </row>
    <row r="210" customFormat="false" ht="15" hidden="false" customHeight="false" outlineLevel="0" collapsed="false">
      <c r="A210" s="7" t="str">
        <f aca="false">'Raw_Data (Before)'!A210</f>
        <v>EMP0131</v>
      </c>
      <c r="B210" s="7" t="str">
        <f aca="false">PROPER(TRIM('Raw_Data (Before)'!B210))</f>
        <v>Chinedu Duru</v>
      </c>
      <c r="C210" s="7" t="str">
        <f aca="false">IFERROR(INDEX(Lookup_Tables!$B$5:$B$24,MATCH(UPPER(TRIM('Raw_Data (Before)'!C210)),Lookup_Tables!$A$5:$A$24,0)),"UNMAPPED")</f>
        <v>Sales</v>
      </c>
      <c r="D210" s="7" t="str">
        <f aca="false">IFERROR(INDEX(Lookup_Tables!$E$5:$E$8,MATCH(UPPER(TRIM('Raw_Data (Before)'!D210)),Lookup_Tables!$D$5:$D$8,0)),"UNMAPPED")</f>
        <v>Female</v>
      </c>
      <c r="E210" s="7" t="n">
        <f aca="false">'Raw_Data (Before)'!E210</f>
        <v>28</v>
      </c>
      <c r="F210" s="7" t="str">
        <f aca="false">IF(E210="","No",IF(OR(E210&lt;16,E210&gt;75),"No","Yes"))</f>
        <v>Yes</v>
      </c>
      <c r="G210" s="7" t="n">
        <f aca="false">IFERROR(VALUE(SUBSTITUTE(SUBSTITUTE('Raw_Data (Before)'!F210,"₦",""),",","")),"")</f>
        <v>820689</v>
      </c>
      <c r="H210" s="7" t="str">
        <f aca="false">IF(G210="","No",IF(OR(G210&lt;=0,G210&gt;5000000),"No","Yes"))</f>
        <v>Yes</v>
      </c>
      <c r="I210" s="8" t="n">
        <f aca="false">IFERROR(DATEVALUE('Raw_Data (Before)'!G210),"")</f>
        <v>45550</v>
      </c>
      <c r="J210" s="7" t="str">
        <f aca="false">IF(I210="","No","Yes")</f>
        <v>Yes</v>
      </c>
      <c r="K210" s="7" t="str">
        <f aca="false">IF(OR(ISERROR(FIND("@",'Raw_Data (Before)'!H210)),ISNUMBER(FIND("@@",'Raw_Data (Before)'!H210)),ISNUMBER(FIND(" ",'Raw_Data (Before)'!H210)),ISERROR(FIND(".",'Raw_Data (Before)'!H210,FIND("@",'Raw_Data (Before)'!H210)))),"No","Yes")</f>
        <v>Yes</v>
      </c>
      <c r="L210" s="7" t="str">
        <f aca="false">IFERROR(INDEX(Lookup_Tables!$H$5:$H$9,MATCH(UPPER(TRIM('Raw_Data (Before)'!I210)),Lookup_Tables!$G$5:$G$9,0)),"UNMAPPED")</f>
        <v>Active</v>
      </c>
      <c r="M210" s="7" t="str">
        <f aca="false">IF(COUNTIF('Raw_Data (Before)'!$A$5:$A$424,A210)&gt;1,"YES","No")</f>
        <v>No</v>
      </c>
      <c r="N210" s="7" t="str">
        <f aca="false">IF(OR(C210="UNMAPPED",D210="UNMAPPED",F210="No",H210="No",J210="No",K210="No",L210="UNMAPPED",M210="YES"),"NEEDS REVIEW","OK")</f>
        <v>OK</v>
      </c>
    </row>
    <row r="211" customFormat="false" ht="15" hidden="false" customHeight="false" outlineLevel="0" collapsed="false">
      <c r="A211" s="7" t="str">
        <f aca="false">'Raw_Data (Before)'!A211</f>
        <v>EMP0370</v>
      </c>
      <c r="B211" s="7" t="str">
        <f aca="false">PROPER(TRIM('Raw_Data (Before)'!B211))</f>
        <v>Chidi Obi</v>
      </c>
      <c r="C211" s="7" t="str">
        <f aca="false">IFERROR(INDEX(Lookup_Tables!$B$5:$B$24,MATCH(UPPER(TRIM('Raw_Data (Before)'!C211)),Lookup_Tables!$A$5:$A$24,0)),"UNMAPPED")</f>
        <v>Operations</v>
      </c>
      <c r="D211" s="7" t="str">
        <f aca="false">IFERROR(INDEX(Lookup_Tables!$E$5:$E$8,MATCH(UPPER(TRIM('Raw_Data (Before)'!D211)),Lookup_Tables!$D$5:$D$8,0)),"UNMAPPED")</f>
        <v>Female</v>
      </c>
      <c r="E211" s="7" t="n">
        <f aca="false">'Raw_Data (Before)'!E211</f>
        <v>42</v>
      </c>
      <c r="F211" s="7" t="str">
        <f aca="false">IF(E211="","No",IF(OR(E211&lt;16,E211&gt;75),"No","Yes"))</f>
        <v>Yes</v>
      </c>
      <c r="G211" s="7" t="n">
        <f aca="false">IFERROR(VALUE(SUBSTITUTE(SUBSTITUTE('Raw_Data (Before)'!F211,"₦",""),",","")),"")</f>
        <v>483740</v>
      </c>
      <c r="H211" s="7" t="str">
        <f aca="false">IF(G211="","No",IF(OR(G211&lt;=0,G211&gt;5000000),"No","Yes"))</f>
        <v>Yes</v>
      </c>
      <c r="I211" s="8" t="n">
        <f aca="false">IFERROR(DATEVALUE('Raw_Data (Before)'!G211),"")</f>
        <v>45143</v>
      </c>
      <c r="J211" s="7" t="str">
        <f aca="false">IF(I211="","No","Yes")</f>
        <v>Yes</v>
      </c>
      <c r="K211" s="7" t="str">
        <f aca="false">IF(OR(ISERROR(FIND("@",'Raw_Data (Before)'!H211)),ISNUMBER(FIND("@@",'Raw_Data (Before)'!H211)),ISNUMBER(FIND(" ",'Raw_Data (Before)'!H211)),ISERROR(FIND(".",'Raw_Data (Before)'!H211,FIND("@",'Raw_Data (Before)'!H211)))),"No","Yes")</f>
        <v>Yes</v>
      </c>
      <c r="L211" s="7" t="str">
        <f aca="false">IFERROR(INDEX(Lookup_Tables!$H$5:$H$9,MATCH(UPPER(TRIM('Raw_Data (Before)'!I211)),Lookup_Tables!$G$5:$G$9,0)),"UNMAPPED")</f>
        <v>Inactive</v>
      </c>
      <c r="M211" s="7" t="str">
        <f aca="false">IF(COUNTIF('Raw_Data (Before)'!$A$5:$A$424,A211)&gt;1,"YES","No")</f>
        <v>No</v>
      </c>
      <c r="N211" s="7" t="str">
        <f aca="false">IF(OR(C211="UNMAPPED",D211="UNMAPPED",F211="No",H211="No",J211="No",K211="No",L211="UNMAPPED",M211="YES"),"NEEDS REVIEW","OK")</f>
        <v>OK</v>
      </c>
    </row>
    <row r="212" customFormat="false" ht="15" hidden="false" customHeight="false" outlineLevel="0" collapsed="false">
      <c r="A212" s="7" t="str">
        <f aca="false">'Raw_Data (Before)'!A212</f>
        <v>EMP0106</v>
      </c>
      <c r="B212" s="7" t="str">
        <f aca="false">PROPER(TRIM('Raw_Data (Before)'!B212))</f>
        <v>Musa Yakubu</v>
      </c>
      <c r="C212" s="7" t="str">
        <f aca="false">IFERROR(INDEX(Lookup_Tables!$B$5:$B$24,MATCH(UPPER(TRIM('Raw_Data (Before)'!C212)),Lookup_Tables!$A$5:$A$24,0)),"UNMAPPED")</f>
        <v>Marketing</v>
      </c>
      <c r="D212" s="7" t="str">
        <f aca="false">IFERROR(INDEX(Lookup_Tables!$E$5:$E$8,MATCH(UPPER(TRIM('Raw_Data (Before)'!D212)),Lookup_Tables!$D$5:$D$8,0)),"UNMAPPED")</f>
        <v>Male</v>
      </c>
      <c r="E212" s="7" t="n">
        <f aca="false">'Raw_Data (Before)'!E212</f>
        <v>29</v>
      </c>
      <c r="F212" s="7" t="str">
        <f aca="false">IF(E212="","No",IF(OR(E212&lt;16,E212&gt;75),"No","Yes"))</f>
        <v>Yes</v>
      </c>
      <c r="G212" s="7" t="n">
        <f aca="false">IFERROR(VALUE(SUBSTITUTE(SUBSTITUTE('Raw_Data (Before)'!F212,"₦",""),",","")),"")</f>
        <v>897728</v>
      </c>
      <c r="H212" s="7" t="str">
        <f aca="false">IF(G212="","No",IF(OR(G212&lt;=0,G212&gt;5000000),"No","Yes"))</f>
        <v>Yes</v>
      </c>
      <c r="I212" s="8" t="n">
        <f aca="false">IFERROR(DATEVALUE('Raw_Data (Before)'!G212),"")</f>
        <v>45018</v>
      </c>
      <c r="J212" s="7" t="str">
        <f aca="false">IF(I212="","No","Yes")</f>
        <v>Yes</v>
      </c>
      <c r="K212" s="7" t="str">
        <f aca="false">IF(OR(ISERROR(FIND("@",'Raw_Data (Before)'!H212)),ISNUMBER(FIND("@@",'Raw_Data (Before)'!H212)),ISNUMBER(FIND(" ",'Raw_Data (Before)'!H212)),ISERROR(FIND(".",'Raw_Data (Before)'!H212,FIND("@",'Raw_Data (Before)'!H212)))),"No","Yes")</f>
        <v>Yes</v>
      </c>
      <c r="L212" s="7" t="str">
        <f aca="false">IFERROR(INDEX(Lookup_Tables!$H$5:$H$9,MATCH(UPPER(TRIM('Raw_Data (Before)'!I212)),Lookup_Tables!$G$5:$G$9,0)),"UNMAPPED")</f>
        <v>Active</v>
      </c>
      <c r="M212" s="7" t="str">
        <f aca="false">IF(COUNTIF('Raw_Data (Before)'!$A$5:$A$424,A212)&gt;1,"YES","No")</f>
        <v>No</v>
      </c>
      <c r="N212" s="7" t="str">
        <f aca="false">IF(OR(C212="UNMAPPED",D212="UNMAPPED",F212="No",H212="No",J212="No",K212="No",L212="UNMAPPED",M212="YES"),"NEEDS REVIEW","OK")</f>
        <v>OK</v>
      </c>
    </row>
    <row r="213" customFormat="false" ht="15" hidden="false" customHeight="false" outlineLevel="0" collapsed="false">
      <c r="A213" s="7" t="str">
        <f aca="false">'Raw_Data (Before)'!A213</f>
        <v>EMP0040</v>
      </c>
      <c r="B213" s="7" t="str">
        <f aca="false">PROPER(TRIM('Raw_Data (Before)'!B213))</f>
        <v>Joy Abubakar</v>
      </c>
      <c r="C213" s="7" t="str">
        <f aca="false">IFERROR(INDEX(Lookup_Tables!$B$5:$B$24,MATCH(UPPER(TRIM('Raw_Data (Before)'!C213)),Lookup_Tables!$A$5:$A$24,0)),"UNMAPPED")</f>
        <v>Finance</v>
      </c>
      <c r="D213" s="7" t="str">
        <f aca="false">IFERROR(INDEX(Lookup_Tables!$E$5:$E$8,MATCH(UPPER(TRIM('Raw_Data (Before)'!D213)),Lookup_Tables!$D$5:$D$8,0)),"UNMAPPED")</f>
        <v>Male</v>
      </c>
      <c r="E213" s="7" t="n">
        <f aca="false">'Raw_Data (Before)'!E213</f>
        <v>53</v>
      </c>
      <c r="F213" s="7" t="str">
        <f aca="false">IF(E213="","No",IF(OR(E213&lt;16,E213&gt;75),"No","Yes"))</f>
        <v>Yes</v>
      </c>
      <c r="G213" s="7" t="n">
        <f aca="false">IFERROR(VALUE(SUBSTITUTE(SUBSTITUTE('Raw_Data (Before)'!F213,"₦",""),",","")),"")</f>
        <v>373148</v>
      </c>
      <c r="H213" s="7" t="str">
        <f aca="false">IF(G213="","No",IF(OR(G213&lt;=0,G213&gt;5000000),"No","Yes"))</f>
        <v>Yes</v>
      </c>
      <c r="I213" s="8" t="n">
        <f aca="false">IFERROR(DATEVALUE('Raw_Data (Before)'!G213),"")</f>
        <v>44896</v>
      </c>
      <c r="J213" s="7" t="str">
        <f aca="false">IF(I213="","No","Yes")</f>
        <v>Yes</v>
      </c>
      <c r="K213" s="7" t="str">
        <f aca="false">IF(OR(ISERROR(FIND("@",'Raw_Data (Before)'!H213)),ISNUMBER(FIND("@@",'Raw_Data (Before)'!H213)),ISNUMBER(FIND(" ",'Raw_Data (Before)'!H213)),ISERROR(FIND(".",'Raw_Data (Before)'!H213,FIND("@",'Raw_Data (Before)'!H213)))),"No","Yes")</f>
        <v>Yes</v>
      </c>
      <c r="L213" s="7" t="str">
        <f aca="false">IFERROR(INDEX(Lookup_Tables!$H$5:$H$9,MATCH(UPPER(TRIM('Raw_Data (Before)'!I213)),Lookup_Tables!$G$5:$G$9,0)),"UNMAPPED")</f>
        <v>Active</v>
      </c>
      <c r="M213" s="7" t="str">
        <f aca="false">IF(COUNTIF('Raw_Data (Before)'!$A$5:$A$424,A213)&gt;1,"YES","No")</f>
        <v>No</v>
      </c>
      <c r="N213" s="7" t="str">
        <f aca="false">IF(OR(C213="UNMAPPED",D213="UNMAPPED",F213="No",H213="No",J213="No",K213="No",L213="UNMAPPED",M213="YES"),"NEEDS REVIEW","OK")</f>
        <v>OK</v>
      </c>
    </row>
    <row r="214" customFormat="false" ht="15" hidden="false" customHeight="false" outlineLevel="0" collapsed="false">
      <c r="A214" s="7" t="str">
        <f aca="false">'Raw_Data (Before)'!A214</f>
        <v>EMP0322</v>
      </c>
      <c r="B214" s="7" t="str">
        <f aca="false">PROPER(TRIM('Raw_Data (Before)'!B214))</f>
        <v>Bisi Okafor</v>
      </c>
      <c r="C214" s="7" t="str">
        <f aca="false">IFERROR(INDEX(Lookup_Tables!$B$5:$B$24,MATCH(UPPER(TRIM('Raw_Data (Before)'!C214)),Lookup_Tables!$A$5:$A$24,0)),"UNMAPPED")</f>
        <v>Operations</v>
      </c>
      <c r="D214" s="7" t="str">
        <f aca="false">IFERROR(INDEX(Lookup_Tables!$E$5:$E$8,MATCH(UPPER(TRIM('Raw_Data (Before)'!D214)),Lookup_Tables!$D$5:$D$8,0)),"UNMAPPED")</f>
        <v>Female</v>
      </c>
      <c r="E214" s="7" t="n">
        <f aca="false">'Raw_Data (Before)'!E214</f>
        <v>42</v>
      </c>
      <c r="F214" s="7" t="str">
        <f aca="false">IF(E214="","No",IF(OR(E214&lt;16,E214&gt;75),"No","Yes"))</f>
        <v>Yes</v>
      </c>
      <c r="G214" s="7" t="n">
        <f aca="false">IFERROR(VALUE(SUBSTITUTE(SUBSTITUTE('Raw_Data (Before)'!F214,"₦",""),",","")),"")</f>
        <v>438296</v>
      </c>
      <c r="H214" s="7" t="str">
        <f aca="false">IF(G214="","No",IF(OR(G214&lt;=0,G214&gt;5000000),"No","Yes"))</f>
        <v>Yes</v>
      </c>
      <c r="I214" s="8" t="str">
        <f aca="false">IFERROR(DATEVALUE('Raw_Data (Before)'!G214),"")</f>
        <v/>
      </c>
      <c r="J214" s="7" t="str">
        <f aca="false">IF(I214="","No","Yes")</f>
        <v>No</v>
      </c>
      <c r="K214" s="7" t="str">
        <f aca="false">IF(OR(ISERROR(FIND("@",'Raw_Data (Before)'!H214)),ISNUMBER(FIND("@@",'Raw_Data (Before)'!H214)),ISNUMBER(FIND(" ",'Raw_Data (Before)'!H214)),ISERROR(FIND(".",'Raw_Data (Before)'!H214,FIND("@",'Raw_Data (Before)'!H214)))),"No","Yes")</f>
        <v>Yes</v>
      </c>
      <c r="L214" s="7" t="str">
        <f aca="false">IFERROR(INDEX(Lookup_Tables!$H$5:$H$9,MATCH(UPPER(TRIM('Raw_Data (Before)'!I214)),Lookup_Tables!$G$5:$G$9,0)),"UNMAPPED")</f>
        <v>Active</v>
      </c>
      <c r="M214" s="7" t="str">
        <f aca="false">IF(COUNTIF('Raw_Data (Before)'!$A$5:$A$424,A214)&gt;1,"YES","No")</f>
        <v>No</v>
      </c>
      <c r="N214" s="7" t="str">
        <f aca="false">IF(OR(C214="UNMAPPED",D214="UNMAPPED",F214="No",H214="No",J214="No",K214="No",L214="UNMAPPED",M214="YES"),"NEEDS REVIEW","OK")</f>
        <v>NEEDS REVIEW</v>
      </c>
    </row>
    <row r="215" customFormat="false" ht="15" hidden="false" customHeight="false" outlineLevel="0" collapsed="false">
      <c r="A215" s="7" t="str">
        <f aca="false">'Raw_Data (Before)'!A215</f>
        <v>EMP0259</v>
      </c>
      <c r="B215" s="7" t="str">
        <f aca="false">PROPER(TRIM('Raw_Data (Before)'!B215))</f>
        <v>Emeka Abubakar</v>
      </c>
      <c r="C215" s="7" t="str">
        <f aca="false">IFERROR(INDEX(Lookup_Tables!$B$5:$B$24,MATCH(UPPER(TRIM('Raw_Data (Before)'!C215)),Lookup_Tables!$A$5:$A$24,0)),"UNMAPPED")</f>
        <v>Customer Service</v>
      </c>
      <c r="D215" s="7" t="str">
        <f aca="false">IFERROR(INDEX(Lookup_Tables!$E$5:$E$8,MATCH(UPPER(TRIM('Raw_Data (Before)'!D215)),Lookup_Tables!$D$5:$D$8,0)),"UNMAPPED")</f>
        <v>Female</v>
      </c>
      <c r="E215" s="7" t="n">
        <f aca="false">'Raw_Data (Before)'!E215</f>
        <v>60</v>
      </c>
      <c r="F215" s="7" t="str">
        <f aca="false">IF(E215="","No",IF(OR(E215&lt;16,E215&gt;75),"No","Yes"))</f>
        <v>Yes</v>
      </c>
      <c r="G215" s="7" t="n">
        <f aca="false">IFERROR(VALUE(SUBSTITUTE(SUBSTITUTE('Raw_Data (Before)'!F215,"₦",""),",","")),"")</f>
        <v>493511</v>
      </c>
      <c r="H215" s="7" t="str">
        <f aca="false">IF(G215="","No",IF(OR(G215&lt;=0,G215&gt;5000000),"No","Yes"))</f>
        <v>Yes</v>
      </c>
      <c r="I215" s="8" t="str">
        <f aca="false">IFERROR(DATEVALUE('Raw_Data (Before)'!G215),"")</f>
        <v/>
      </c>
      <c r="J215" s="7" t="str">
        <f aca="false">IF(I215="","No","Yes")</f>
        <v>No</v>
      </c>
      <c r="K215" s="7" t="str">
        <f aca="false">IF(OR(ISERROR(FIND("@",'Raw_Data (Before)'!H215)),ISNUMBER(FIND("@@",'Raw_Data (Before)'!H215)),ISNUMBER(FIND(" ",'Raw_Data (Before)'!H215)),ISERROR(FIND(".",'Raw_Data (Before)'!H215,FIND("@",'Raw_Data (Before)'!H215)))),"No","Yes")</f>
        <v>Yes</v>
      </c>
      <c r="L215" s="7" t="str">
        <f aca="false">IFERROR(INDEX(Lookup_Tables!$H$5:$H$9,MATCH(UPPER(TRIM('Raw_Data (Before)'!I215)),Lookup_Tables!$G$5:$G$9,0)),"UNMAPPED")</f>
        <v>Active</v>
      </c>
      <c r="M215" s="7" t="str">
        <f aca="false">IF(COUNTIF('Raw_Data (Before)'!$A$5:$A$424,A215)&gt;1,"YES","No")</f>
        <v>No</v>
      </c>
      <c r="N215" s="7" t="str">
        <f aca="false">IF(OR(C215="UNMAPPED",D215="UNMAPPED",F215="No",H215="No",J215="No",K215="No",L215="UNMAPPED",M215="YES"),"NEEDS REVIEW","OK")</f>
        <v>NEEDS REVIEW</v>
      </c>
    </row>
    <row r="216" customFormat="false" ht="15" hidden="false" customHeight="false" outlineLevel="0" collapsed="false">
      <c r="A216" s="7" t="str">
        <f aca="false">'Raw_Data (Before)'!A216</f>
        <v>EMP0353</v>
      </c>
      <c r="B216" s="7" t="str">
        <f aca="false">PROPER(TRIM('Raw_Data (Before)'!B216))</f>
        <v>Patience Lawal</v>
      </c>
      <c r="C216" s="7" t="str">
        <f aca="false">IFERROR(INDEX(Lookup_Tables!$B$5:$B$24,MATCH(UPPER(TRIM('Raw_Data (Before)'!C216)),Lookup_Tables!$A$5:$A$24,0)),"UNMAPPED")</f>
        <v>Operations</v>
      </c>
      <c r="D216" s="7" t="str">
        <f aca="false">IFERROR(INDEX(Lookup_Tables!$E$5:$E$8,MATCH(UPPER(TRIM('Raw_Data (Before)'!D216)),Lookup_Tables!$D$5:$D$8,0)),"UNMAPPED")</f>
        <v>Female</v>
      </c>
      <c r="E216" s="7" t="n">
        <f aca="false">'Raw_Data (Before)'!E216</f>
        <v>25</v>
      </c>
      <c r="F216" s="7" t="str">
        <f aca="false">IF(E216="","No",IF(OR(E216&lt;16,E216&gt;75),"No","Yes"))</f>
        <v>Yes</v>
      </c>
      <c r="G216" s="7" t="n">
        <f aca="false">IFERROR(VALUE(SUBSTITUTE(SUBSTITUTE('Raw_Data (Before)'!F216,"₦",""),",","")),"")</f>
        <v>460485</v>
      </c>
      <c r="H216" s="7" t="str">
        <f aca="false">IF(G216="","No",IF(OR(G216&lt;=0,G216&gt;5000000),"No","Yes"))</f>
        <v>Yes</v>
      </c>
      <c r="I216" s="8" t="n">
        <f aca="false">IFERROR(DATEVALUE('Raw_Data (Before)'!G216),"")</f>
        <v>43169</v>
      </c>
      <c r="J216" s="7" t="str">
        <f aca="false">IF(I216="","No","Yes")</f>
        <v>Yes</v>
      </c>
      <c r="K216" s="7" t="str">
        <f aca="false">IF(OR(ISERROR(FIND("@",'Raw_Data (Before)'!H216)),ISNUMBER(FIND("@@",'Raw_Data (Before)'!H216)),ISNUMBER(FIND(" ",'Raw_Data (Before)'!H216)),ISERROR(FIND(".",'Raw_Data (Before)'!H216,FIND("@",'Raw_Data (Before)'!H216)))),"No","Yes")</f>
        <v>Yes</v>
      </c>
      <c r="L216" s="7" t="str">
        <f aca="false">IFERROR(INDEX(Lookup_Tables!$H$5:$H$9,MATCH(UPPER(TRIM('Raw_Data (Before)'!I216)),Lookup_Tables!$G$5:$G$9,0)),"UNMAPPED")</f>
        <v>Active</v>
      </c>
      <c r="M216" s="7" t="str">
        <f aca="false">IF(COUNTIF('Raw_Data (Before)'!$A$5:$A$424,A216)&gt;1,"YES","No")</f>
        <v>No</v>
      </c>
      <c r="N216" s="7" t="str">
        <f aca="false">IF(OR(C216="UNMAPPED",D216="UNMAPPED",F216="No",H216="No",J216="No",K216="No",L216="UNMAPPED",M216="YES"),"NEEDS REVIEW","OK")</f>
        <v>OK</v>
      </c>
    </row>
    <row r="217" customFormat="false" ht="15" hidden="false" customHeight="false" outlineLevel="0" collapsed="false">
      <c r="A217" s="7" t="str">
        <f aca="false">'Raw_Data (Before)'!A217</f>
        <v>EMP0276</v>
      </c>
      <c r="B217" s="7" t="str">
        <f aca="false">PROPER(TRIM('Raw_Data (Before)'!B217))</f>
        <v>James Okafor</v>
      </c>
      <c r="C217" s="7" t="str">
        <f aca="false">IFERROR(INDEX(Lookup_Tables!$B$5:$B$24,MATCH(UPPER(TRIM('Raw_Data (Before)'!C217)),Lookup_Tables!$A$5:$A$24,0)),"UNMAPPED")</f>
        <v>Marketing</v>
      </c>
      <c r="D217" s="7" t="str">
        <f aca="false">IFERROR(INDEX(Lookup_Tables!$E$5:$E$8,MATCH(UPPER(TRIM('Raw_Data (Before)'!D217)),Lookup_Tables!$D$5:$D$8,0)),"UNMAPPED")</f>
        <v>Male</v>
      </c>
      <c r="E217" s="7" t="n">
        <f aca="false">'Raw_Data (Before)'!E217</f>
        <v>24</v>
      </c>
      <c r="F217" s="7" t="str">
        <f aca="false">IF(E217="","No",IF(OR(E217&lt;16,E217&gt;75),"No","Yes"))</f>
        <v>Yes</v>
      </c>
      <c r="G217" s="7" t="n">
        <f aca="false">IFERROR(VALUE(SUBSTITUTE(SUBSTITUTE('Raw_Data (Before)'!F217,"₦",""),",","")),"")</f>
        <v>923233</v>
      </c>
      <c r="H217" s="7" t="str">
        <f aca="false">IF(G217="","No",IF(OR(G217&lt;=0,G217&gt;5000000),"No","Yes"))</f>
        <v>Yes</v>
      </c>
      <c r="I217" s="8" t="n">
        <f aca="false">IFERROR(DATEVALUE('Raw_Data (Before)'!G217),"")</f>
        <v>45198</v>
      </c>
      <c r="J217" s="7" t="str">
        <f aca="false">IF(I217="","No","Yes")</f>
        <v>Yes</v>
      </c>
      <c r="K217" s="7" t="str">
        <f aca="false">IF(OR(ISERROR(FIND("@",'Raw_Data (Before)'!H217)),ISNUMBER(FIND("@@",'Raw_Data (Before)'!H217)),ISNUMBER(FIND(" ",'Raw_Data (Before)'!H217)),ISERROR(FIND(".",'Raw_Data (Before)'!H217,FIND("@",'Raw_Data (Before)'!H217)))),"No","Yes")</f>
        <v>Yes</v>
      </c>
      <c r="L217" s="7" t="str">
        <f aca="false">IFERROR(INDEX(Lookup_Tables!$H$5:$H$9,MATCH(UPPER(TRIM('Raw_Data (Before)'!I217)),Lookup_Tables!$G$5:$G$9,0)),"UNMAPPED")</f>
        <v>Active</v>
      </c>
      <c r="M217" s="7" t="str">
        <f aca="false">IF(COUNTIF('Raw_Data (Before)'!$A$5:$A$424,A217)&gt;1,"YES","No")</f>
        <v>No</v>
      </c>
      <c r="N217" s="7" t="str">
        <f aca="false">IF(OR(C217="UNMAPPED",D217="UNMAPPED",F217="No",H217="No",J217="No",K217="No",L217="UNMAPPED",M217="YES"),"NEEDS REVIEW","OK")</f>
        <v>OK</v>
      </c>
    </row>
    <row r="218" customFormat="false" ht="15" hidden="false" customHeight="false" outlineLevel="0" collapsed="false">
      <c r="A218" s="7" t="str">
        <f aca="false">'Raw_Data (Before)'!A218</f>
        <v>EMP0265</v>
      </c>
      <c r="B218" s="7" t="str">
        <f aca="false">PROPER(TRIM('Raw_Data (Before)'!B218))</f>
        <v>Ola Obi</v>
      </c>
      <c r="C218" s="7" t="str">
        <f aca="false">IFERROR(INDEX(Lookup_Tables!$B$5:$B$24,MATCH(UPPER(TRIM('Raw_Data (Before)'!C218)),Lookup_Tables!$A$5:$A$24,0)),"UNMAPPED")</f>
        <v>Customer Service</v>
      </c>
      <c r="D218" s="7" t="str">
        <f aca="false">IFERROR(INDEX(Lookup_Tables!$E$5:$E$8,MATCH(UPPER(TRIM('Raw_Data (Before)'!D218)),Lookup_Tables!$D$5:$D$8,0)),"UNMAPPED")</f>
        <v>Female</v>
      </c>
      <c r="E218" s="7" t="n">
        <f aca="false">'Raw_Data (Before)'!E218</f>
        <v>24</v>
      </c>
      <c r="F218" s="7" t="str">
        <f aca="false">IF(E218="","No",IF(OR(E218&lt;16,E218&gt;75),"No","Yes"))</f>
        <v>Yes</v>
      </c>
      <c r="G218" s="7" t="n">
        <f aca="false">IFERROR(VALUE(SUBSTITUTE(SUBSTITUTE('Raw_Data (Before)'!F218,"₦",""),",","")),"")</f>
        <v>250026</v>
      </c>
      <c r="H218" s="7" t="str">
        <f aca="false">IF(G218="","No",IF(OR(G218&lt;=0,G218&gt;5000000),"No","Yes"))</f>
        <v>Yes</v>
      </c>
      <c r="I218" s="8" t="str">
        <f aca="false">IFERROR(DATEVALUE('Raw_Data (Before)'!G218),"")</f>
        <v/>
      </c>
      <c r="J218" s="7" t="str">
        <f aca="false">IF(I218="","No","Yes")</f>
        <v>No</v>
      </c>
      <c r="K218" s="7" t="str">
        <f aca="false">IF(OR(ISERROR(FIND("@",'Raw_Data (Before)'!H218)),ISNUMBER(FIND("@@",'Raw_Data (Before)'!H218)),ISNUMBER(FIND(" ",'Raw_Data (Before)'!H218)),ISERROR(FIND(".",'Raw_Data (Before)'!H218,FIND("@",'Raw_Data (Before)'!H218)))),"No","Yes")</f>
        <v>Yes</v>
      </c>
      <c r="L218" s="7" t="str">
        <f aca="false">IFERROR(INDEX(Lookup_Tables!$H$5:$H$9,MATCH(UPPER(TRIM('Raw_Data (Before)'!I218)),Lookup_Tables!$G$5:$G$9,0)),"UNMAPPED")</f>
        <v>Active</v>
      </c>
      <c r="M218" s="7" t="str">
        <f aca="false">IF(COUNTIF('Raw_Data (Before)'!$A$5:$A$424,A218)&gt;1,"YES","No")</f>
        <v>No</v>
      </c>
      <c r="N218" s="7" t="str">
        <f aca="false">IF(OR(C218="UNMAPPED",D218="UNMAPPED",F218="No",H218="No",J218="No",K218="No",L218="UNMAPPED",M218="YES"),"NEEDS REVIEW","OK")</f>
        <v>NEEDS REVIEW</v>
      </c>
    </row>
    <row r="219" customFormat="false" ht="15" hidden="false" customHeight="false" outlineLevel="0" collapsed="false">
      <c r="A219" s="7" t="str">
        <f aca="false">'Raw_Data (Before)'!A219</f>
        <v>EMP0214</v>
      </c>
      <c r="B219" s="7" t="str">
        <f aca="false">PROPER(TRIM('Raw_Data (Before)'!B219))</f>
        <v>Emmanuel Duru</v>
      </c>
      <c r="C219" s="7" t="str">
        <f aca="false">IFERROR(INDEX(Lookup_Tables!$B$5:$B$24,MATCH(UPPER(TRIM('Raw_Data (Before)'!C219)),Lookup_Tables!$A$5:$A$24,0)),"UNMAPPED")</f>
        <v>Operations</v>
      </c>
      <c r="D219" s="7" t="str">
        <f aca="false">IFERROR(INDEX(Lookup_Tables!$E$5:$E$8,MATCH(UPPER(TRIM('Raw_Data (Before)'!D219)),Lookup_Tables!$D$5:$D$8,0)),"UNMAPPED")</f>
        <v>Female</v>
      </c>
      <c r="E219" s="7" t="n">
        <f aca="false">'Raw_Data (Before)'!E219</f>
        <v>22</v>
      </c>
      <c r="F219" s="7" t="str">
        <f aca="false">IF(E219="","No",IF(OR(E219&lt;16,E219&gt;75),"No","Yes"))</f>
        <v>Yes</v>
      </c>
      <c r="G219" s="7" t="n">
        <f aca="false">IFERROR(VALUE(SUBSTITUTE(SUBSTITUTE('Raw_Data (Before)'!F219,"₦",""),",","")),"")</f>
        <v>193040</v>
      </c>
      <c r="H219" s="7" t="str">
        <f aca="false">IF(G219="","No",IF(OR(G219&lt;=0,G219&gt;5000000),"No","Yes"))</f>
        <v>Yes</v>
      </c>
      <c r="I219" s="8" t="n">
        <f aca="false">IFERROR(DATEVALUE('Raw_Data (Before)'!G219),"")</f>
        <v>44694</v>
      </c>
      <c r="J219" s="7" t="str">
        <f aca="false">IF(I219="","No","Yes")</f>
        <v>Yes</v>
      </c>
      <c r="K219" s="7" t="str">
        <f aca="false">IF(OR(ISERROR(FIND("@",'Raw_Data (Before)'!H219)),ISNUMBER(FIND("@@",'Raw_Data (Before)'!H219)),ISNUMBER(FIND(" ",'Raw_Data (Before)'!H219)),ISERROR(FIND(".",'Raw_Data (Before)'!H219,FIND("@",'Raw_Data (Before)'!H219)))),"No","Yes")</f>
        <v>No</v>
      </c>
      <c r="L219" s="7" t="str">
        <f aca="false">IFERROR(INDEX(Lookup_Tables!$H$5:$H$9,MATCH(UPPER(TRIM('Raw_Data (Before)'!I219)),Lookup_Tables!$G$5:$G$9,0)),"UNMAPPED")</f>
        <v>Active</v>
      </c>
      <c r="M219" s="7" t="str">
        <f aca="false">IF(COUNTIF('Raw_Data (Before)'!$A$5:$A$424,A219)&gt;1,"YES","No")</f>
        <v>No</v>
      </c>
      <c r="N219" s="7" t="str">
        <f aca="false">IF(OR(C219="UNMAPPED",D219="UNMAPPED",F219="No",H219="No",J219="No",K219="No",L219="UNMAPPED",M219="YES"),"NEEDS REVIEW","OK")</f>
        <v>NEEDS REVIEW</v>
      </c>
    </row>
    <row r="220" customFormat="false" ht="15" hidden="false" customHeight="false" outlineLevel="0" collapsed="false">
      <c r="A220" s="7" t="str">
        <f aca="false">'Raw_Data (Before)'!A220</f>
        <v>EMP0219</v>
      </c>
      <c r="B220" s="7" t="str">
        <f aca="false">PROPER(TRIM('Raw_Data (Before)'!B220))</f>
        <v>Chidi Adeyemi</v>
      </c>
      <c r="C220" s="7" t="str">
        <f aca="false">IFERROR(INDEX(Lookup_Tables!$B$5:$B$24,MATCH(UPPER(TRIM('Raw_Data (Before)'!C220)),Lookup_Tables!$A$5:$A$24,0)),"UNMAPPED")</f>
        <v>IT</v>
      </c>
      <c r="D220" s="7" t="str">
        <f aca="false">IFERROR(INDEX(Lookup_Tables!$E$5:$E$8,MATCH(UPPER(TRIM('Raw_Data (Before)'!D220)),Lookup_Tables!$D$5:$D$8,0)),"UNMAPPED")</f>
        <v>Male</v>
      </c>
      <c r="E220" s="7" t="n">
        <f aca="false">'Raw_Data (Before)'!E220</f>
        <v>22</v>
      </c>
      <c r="F220" s="7" t="str">
        <f aca="false">IF(E220="","No",IF(OR(E220&lt;16,E220&gt;75),"No","Yes"))</f>
        <v>Yes</v>
      </c>
      <c r="G220" s="7" t="n">
        <f aca="false">IFERROR(VALUE(SUBSTITUTE(SUBSTITUTE('Raw_Data (Before)'!F220,"₦",""),",","")),"")</f>
        <v>130665</v>
      </c>
      <c r="H220" s="7" t="str">
        <f aca="false">IF(G220="","No",IF(OR(G220&lt;=0,G220&gt;5000000),"No","Yes"))</f>
        <v>Yes</v>
      </c>
      <c r="I220" s="8" t="n">
        <f aca="false">IFERROR(DATEVALUE('Raw_Data (Before)'!G220),"")</f>
        <v>45455</v>
      </c>
      <c r="J220" s="7" t="str">
        <f aca="false">IF(I220="","No","Yes")</f>
        <v>Yes</v>
      </c>
      <c r="K220" s="7" t="str">
        <f aca="false">IF(OR(ISERROR(FIND("@",'Raw_Data (Before)'!H220)),ISNUMBER(FIND("@@",'Raw_Data (Before)'!H220)),ISNUMBER(FIND(" ",'Raw_Data (Before)'!H220)),ISERROR(FIND(".",'Raw_Data (Before)'!H220,FIND("@",'Raw_Data (Before)'!H220)))),"No","Yes")</f>
        <v>Yes</v>
      </c>
      <c r="L220" s="7" t="str">
        <f aca="false">IFERROR(INDEX(Lookup_Tables!$H$5:$H$9,MATCH(UPPER(TRIM('Raw_Data (Before)'!I220)),Lookup_Tables!$G$5:$G$9,0)),"UNMAPPED")</f>
        <v>Active</v>
      </c>
      <c r="M220" s="7" t="str">
        <f aca="false">IF(COUNTIF('Raw_Data (Before)'!$A$5:$A$424,A220)&gt;1,"YES","No")</f>
        <v>No</v>
      </c>
      <c r="N220" s="7" t="str">
        <f aca="false">IF(OR(C220="UNMAPPED",D220="UNMAPPED",F220="No",H220="No",J220="No",K220="No",L220="UNMAPPED",M220="YES"),"NEEDS REVIEW","OK")</f>
        <v>OK</v>
      </c>
    </row>
    <row r="221" customFormat="false" ht="15" hidden="false" customHeight="false" outlineLevel="0" collapsed="false">
      <c r="A221" s="7" t="str">
        <f aca="false">'Raw_Data (Before)'!A221</f>
        <v>EMP0120</v>
      </c>
      <c r="B221" s="7" t="str">
        <f aca="false">PROPER(TRIM('Raw_Data (Before)'!B221))</f>
        <v>Patience Nwosu</v>
      </c>
      <c r="C221" s="7" t="str">
        <f aca="false">IFERROR(INDEX(Lookup_Tables!$B$5:$B$24,MATCH(UPPER(TRIM('Raw_Data (Before)'!C221)),Lookup_Tables!$A$5:$A$24,0)),"UNMAPPED")</f>
        <v>Finance</v>
      </c>
      <c r="D221" s="7" t="str">
        <f aca="false">IFERROR(INDEX(Lookup_Tables!$E$5:$E$8,MATCH(UPPER(TRIM('Raw_Data (Before)'!D221)),Lookup_Tables!$D$5:$D$8,0)),"UNMAPPED")</f>
        <v>Female</v>
      </c>
      <c r="E221" s="7" t="n">
        <f aca="false">'Raw_Data (Before)'!E221</f>
        <v>29</v>
      </c>
      <c r="F221" s="7" t="str">
        <f aca="false">IF(E221="","No",IF(OR(E221&lt;16,E221&gt;75),"No","Yes"))</f>
        <v>Yes</v>
      </c>
      <c r="G221" s="7" t="n">
        <f aca="false">IFERROR(VALUE(SUBSTITUTE(SUBSTITUTE('Raw_Data (Before)'!F221,"₦",""),",","")),"")</f>
        <v>575275</v>
      </c>
      <c r="H221" s="7" t="str">
        <f aca="false">IF(G221="","No",IF(OR(G221&lt;=0,G221&gt;5000000),"No","Yes"))</f>
        <v>Yes</v>
      </c>
      <c r="I221" s="8" t="str">
        <f aca="false">IFERROR(DATEVALUE('Raw_Data (Before)'!G221),"")</f>
        <v/>
      </c>
      <c r="J221" s="7" t="str">
        <f aca="false">IF(I221="","No","Yes")</f>
        <v>No</v>
      </c>
      <c r="K221" s="7" t="str">
        <f aca="false">IF(OR(ISERROR(FIND("@",'Raw_Data (Before)'!H221)),ISNUMBER(FIND("@@",'Raw_Data (Before)'!H221)),ISNUMBER(FIND(" ",'Raw_Data (Before)'!H221)),ISERROR(FIND(".",'Raw_Data (Before)'!H221,FIND("@",'Raw_Data (Before)'!H221)))),"No","Yes")</f>
        <v>Yes</v>
      </c>
      <c r="L221" s="7" t="str">
        <f aca="false">IFERROR(INDEX(Lookup_Tables!$H$5:$H$9,MATCH(UPPER(TRIM('Raw_Data (Before)'!I221)),Lookup_Tables!$G$5:$G$9,0)),"UNMAPPED")</f>
        <v>Active</v>
      </c>
      <c r="M221" s="7" t="str">
        <f aca="false">IF(COUNTIF('Raw_Data (Before)'!$A$5:$A$424,A221)&gt;1,"YES","No")</f>
        <v>No</v>
      </c>
      <c r="N221" s="7" t="str">
        <f aca="false">IF(OR(C221="UNMAPPED",D221="UNMAPPED",F221="No",H221="No",J221="No",K221="No",L221="UNMAPPED",M221="YES"),"NEEDS REVIEW","OK")</f>
        <v>NEEDS REVIEW</v>
      </c>
    </row>
    <row r="222" customFormat="false" ht="15" hidden="false" customHeight="false" outlineLevel="0" collapsed="false">
      <c r="A222" s="7" t="str">
        <f aca="false">'Raw_Data (Before)'!A222</f>
        <v>EMP0209</v>
      </c>
      <c r="B222" s="7" t="str">
        <f aca="false">PROPER(TRIM('Raw_Data (Before)'!B222))</f>
        <v>Gabriel Abubakar</v>
      </c>
      <c r="C222" s="7" t="str">
        <f aca="false">IFERROR(INDEX(Lookup_Tables!$B$5:$B$24,MATCH(UPPER(TRIM('Raw_Data (Before)'!C222)),Lookup_Tables!$A$5:$A$24,0)),"UNMAPPED")</f>
        <v>IT</v>
      </c>
      <c r="D222" s="7" t="str">
        <f aca="false">IFERROR(INDEX(Lookup_Tables!$E$5:$E$8,MATCH(UPPER(TRIM('Raw_Data (Before)'!D222)),Lookup_Tables!$D$5:$D$8,0)),"UNMAPPED")</f>
        <v>Male</v>
      </c>
      <c r="E222" s="7" t="n">
        <f aca="false">'Raw_Data (Before)'!E222</f>
        <v>52</v>
      </c>
      <c r="F222" s="7" t="str">
        <f aca="false">IF(E222="","No",IF(OR(E222&lt;16,E222&gt;75),"No","Yes"))</f>
        <v>Yes</v>
      </c>
      <c r="G222" s="7" t="n">
        <f aca="false">IFERROR(VALUE(SUBSTITUTE(SUBSTITUTE('Raw_Data (Before)'!F222,"₦",""),",","")),"")</f>
        <v>706887</v>
      </c>
      <c r="H222" s="7" t="str">
        <f aca="false">IF(G222="","No",IF(OR(G222&lt;=0,G222&gt;5000000),"No","Yes"))</f>
        <v>Yes</v>
      </c>
      <c r="I222" s="8" t="n">
        <f aca="false">IFERROR(DATEVALUE('Raw_Data (Before)'!G222),"")</f>
        <v>43458</v>
      </c>
      <c r="J222" s="7" t="str">
        <f aca="false">IF(I222="","No","Yes")</f>
        <v>Yes</v>
      </c>
      <c r="K222" s="7" t="str">
        <f aca="false">IF(OR(ISERROR(FIND("@",'Raw_Data (Before)'!H222)),ISNUMBER(FIND("@@",'Raw_Data (Before)'!H222)),ISNUMBER(FIND(" ",'Raw_Data (Before)'!H222)),ISERROR(FIND(".",'Raw_Data (Before)'!H222,FIND("@",'Raw_Data (Before)'!H222)))),"No","Yes")</f>
        <v>Yes</v>
      </c>
      <c r="L222" s="7" t="str">
        <f aca="false">IFERROR(INDEX(Lookup_Tables!$H$5:$H$9,MATCH(UPPER(TRIM('Raw_Data (Before)'!I222)),Lookup_Tables!$G$5:$G$9,0)),"UNMAPPED")</f>
        <v>Inactive</v>
      </c>
      <c r="M222" s="7" t="str">
        <f aca="false">IF(COUNTIF('Raw_Data (Before)'!$A$5:$A$424,A222)&gt;1,"YES","No")</f>
        <v>No</v>
      </c>
      <c r="N222" s="7" t="str">
        <f aca="false">IF(OR(C222="UNMAPPED",D222="UNMAPPED",F222="No",H222="No",J222="No",K222="No",L222="UNMAPPED",M222="YES"),"NEEDS REVIEW","OK")</f>
        <v>OK</v>
      </c>
    </row>
    <row r="223" customFormat="false" ht="15" hidden="false" customHeight="false" outlineLevel="0" collapsed="false">
      <c r="A223" s="7" t="str">
        <f aca="false">'Raw_Data (Before)'!A223</f>
        <v>EMP0245</v>
      </c>
      <c r="B223" s="7" t="str">
        <f aca="false">PROPER(TRIM('Raw_Data (Before)'!B223))</f>
        <v>Kemi Adeyemi</v>
      </c>
      <c r="C223" s="7" t="str">
        <f aca="false">IFERROR(INDEX(Lookup_Tables!$B$5:$B$24,MATCH(UPPER(TRIM('Raw_Data (Before)'!C223)),Lookup_Tables!$A$5:$A$24,0)),"UNMAPPED")</f>
        <v>IT</v>
      </c>
      <c r="D223" s="7" t="str">
        <f aca="false">IFERROR(INDEX(Lookup_Tables!$E$5:$E$8,MATCH(UPPER(TRIM('Raw_Data (Before)'!D223)),Lookup_Tables!$D$5:$D$8,0)),"UNMAPPED")</f>
        <v>Male</v>
      </c>
      <c r="E223" s="7" t="n">
        <f aca="false">'Raw_Data (Before)'!E223</f>
        <v>0</v>
      </c>
      <c r="F223" s="7" t="str">
        <f aca="false">IF(E223="","No",IF(OR(E223&lt;16,E223&gt;75),"No","Yes"))</f>
        <v>No</v>
      </c>
      <c r="G223" s="7" t="n">
        <f aca="false">IFERROR(VALUE(SUBSTITUTE(SUBSTITUTE('Raw_Data (Before)'!F223,"₦",""),",","")),"")</f>
        <v>429317</v>
      </c>
      <c r="H223" s="7" t="str">
        <f aca="false">IF(G223="","No",IF(OR(G223&lt;=0,G223&gt;5000000),"No","Yes"))</f>
        <v>Yes</v>
      </c>
      <c r="I223" s="8" t="n">
        <f aca="false">IFERROR(DATEVALUE('Raw_Data (Before)'!G223),"")</f>
        <v>45790</v>
      </c>
      <c r="J223" s="7" t="str">
        <f aca="false">IF(I223="","No","Yes")</f>
        <v>Yes</v>
      </c>
      <c r="K223" s="7" t="str">
        <f aca="false">IF(OR(ISERROR(FIND("@",'Raw_Data (Before)'!H223)),ISNUMBER(FIND("@@",'Raw_Data (Before)'!H223)),ISNUMBER(FIND(" ",'Raw_Data (Before)'!H223)),ISERROR(FIND(".",'Raw_Data (Before)'!H223,FIND("@",'Raw_Data (Before)'!H223)))),"No","Yes")</f>
        <v>Yes</v>
      </c>
      <c r="L223" s="7" t="str">
        <f aca="false">IFERROR(INDEX(Lookup_Tables!$H$5:$H$9,MATCH(UPPER(TRIM('Raw_Data (Before)'!I223)),Lookup_Tables!$G$5:$G$9,0)),"UNMAPPED")</f>
        <v>Active</v>
      </c>
      <c r="M223" s="7" t="str">
        <f aca="false">IF(COUNTIF('Raw_Data (Before)'!$A$5:$A$424,A223)&gt;1,"YES","No")</f>
        <v>No</v>
      </c>
      <c r="N223" s="7" t="str">
        <f aca="false">IF(OR(C223="UNMAPPED",D223="UNMAPPED",F223="No",H223="No",J223="No",K223="No",L223="UNMAPPED",M223="YES"),"NEEDS REVIEW","OK")</f>
        <v>NEEDS REVIEW</v>
      </c>
    </row>
    <row r="224" customFormat="false" ht="15" hidden="false" customHeight="false" outlineLevel="0" collapsed="false">
      <c r="A224" s="7" t="str">
        <f aca="false">'Raw_Data (Before)'!A224</f>
        <v>EMP0333</v>
      </c>
      <c r="B224" s="7" t="str">
        <f aca="false">PROPER(TRIM('Raw_Data (Before)'!B224))</f>
        <v>Gabriel Lawal</v>
      </c>
      <c r="C224" s="7" t="str">
        <f aca="false">IFERROR(INDEX(Lookup_Tables!$B$5:$B$24,MATCH(UPPER(TRIM('Raw_Data (Before)'!C224)),Lookup_Tables!$A$5:$A$24,0)),"UNMAPPED")</f>
        <v>Customer Service</v>
      </c>
      <c r="D224" s="7" t="str">
        <f aca="false">IFERROR(INDEX(Lookup_Tables!$E$5:$E$8,MATCH(UPPER(TRIM('Raw_Data (Before)'!D224)),Lookup_Tables!$D$5:$D$8,0)),"UNMAPPED")</f>
        <v>Female</v>
      </c>
      <c r="E224" s="7" t="n">
        <f aca="false">'Raw_Data (Before)'!E224</f>
        <v>32</v>
      </c>
      <c r="F224" s="7" t="str">
        <f aca="false">IF(E224="","No",IF(OR(E224&lt;16,E224&gt;75),"No","Yes"))</f>
        <v>Yes</v>
      </c>
      <c r="G224" s="7" t="n">
        <f aca="false">IFERROR(VALUE(SUBSTITUTE(SUBSTITUTE('Raw_Data (Before)'!F224,"₦",""),",","")),"")</f>
        <v>844813</v>
      </c>
      <c r="H224" s="7" t="str">
        <f aca="false">IF(G224="","No",IF(OR(G224&lt;=0,G224&gt;5000000),"No","Yes"))</f>
        <v>Yes</v>
      </c>
      <c r="I224" s="8" t="n">
        <f aca="false">IFERROR(DATEVALUE('Raw_Data (Before)'!G224),"")</f>
        <v>43709</v>
      </c>
      <c r="J224" s="7" t="str">
        <f aca="false">IF(I224="","No","Yes")</f>
        <v>Yes</v>
      </c>
      <c r="K224" s="7" t="str">
        <f aca="false">IF(OR(ISERROR(FIND("@",'Raw_Data (Before)'!H224)),ISNUMBER(FIND("@@",'Raw_Data (Before)'!H224)),ISNUMBER(FIND(" ",'Raw_Data (Before)'!H224)),ISERROR(FIND(".",'Raw_Data (Before)'!H224,FIND("@",'Raw_Data (Before)'!H224)))),"No","Yes")</f>
        <v>Yes</v>
      </c>
      <c r="L224" s="7" t="str">
        <f aca="false">IFERROR(INDEX(Lookup_Tables!$H$5:$H$9,MATCH(UPPER(TRIM('Raw_Data (Before)'!I224)),Lookup_Tables!$G$5:$G$9,0)),"UNMAPPED")</f>
        <v>Active</v>
      </c>
      <c r="M224" s="7" t="str">
        <f aca="false">IF(COUNTIF('Raw_Data (Before)'!$A$5:$A$424,A224)&gt;1,"YES","No")</f>
        <v>No</v>
      </c>
      <c r="N224" s="7" t="str">
        <f aca="false">IF(OR(C224="UNMAPPED",D224="UNMAPPED",F224="No",H224="No",J224="No",K224="No",L224="UNMAPPED",M224="YES"),"NEEDS REVIEW","OK")</f>
        <v>OK</v>
      </c>
    </row>
    <row r="225" customFormat="false" ht="15" hidden="false" customHeight="false" outlineLevel="0" collapsed="false">
      <c r="A225" s="7" t="str">
        <f aca="false">'Raw_Data (Before)'!A225</f>
        <v>EMP0202</v>
      </c>
      <c r="B225" s="7" t="str">
        <f aca="false">PROPER(TRIM('Raw_Data (Before)'!B225))</f>
        <v>Joy Abubakar</v>
      </c>
      <c r="C225" s="7" t="str">
        <f aca="false">IFERROR(INDEX(Lookup_Tables!$B$5:$B$24,MATCH(UPPER(TRIM('Raw_Data (Before)'!C225)),Lookup_Tables!$A$5:$A$24,0)),"UNMAPPED")</f>
        <v>Operations</v>
      </c>
      <c r="D225" s="7" t="str">
        <f aca="false">IFERROR(INDEX(Lookup_Tables!$E$5:$E$8,MATCH(UPPER(TRIM('Raw_Data (Before)'!D225)),Lookup_Tables!$D$5:$D$8,0)),"UNMAPPED")</f>
        <v>Female</v>
      </c>
      <c r="E225" s="7" t="n">
        <f aca="false">'Raw_Data (Before)'!E225</f>
        <v>27</v>
      </c>
      <c r="F225" s="7" t="str">
        <f aca="false">IF(E225="","No",IF(OR(E225&lt;16,E225&gt;75),"No","Yes"))</f>
        <v>Yes</v>
      </c>
      <c r="G225" s="7" t="n">
        <f aca="false">IFERROR(VALUE(SUBSTITUTE(SUBSTITUTE('Raw_Data (Before)'!F225,"₦",""),",","")),"")</f>
        <v>288922</v>
      </c>
      <c r="H225" s="7" t="str">
        <f aca="false">IF(G225="","No",IF(OR(G225&lt;=0,G225&gt;5000000),"No","Yes"))</f>
        <v>Yes</v>
      </c>
      <c r="I225" s="8" t="n">
        <f aca="false">IFERROR(DATEVALUE('Raw_Data (Before)'!G225),"")</f>
        <v>43240</v>
      </c>
      <c r="J225" s="7" t="str">
        <f aca="false">IF(I225="","No","Yes")</f>
        <v>Yes</v>
      </c>
      <c r="K225" s="7" t="str">
        <f aca="false">IF(OR(ISERROR(FIND("@",'Raw_Data (Before)'!H225)),ISNUMBER(FIND("@@",'Raw_Data (Before)'!H225)),ISNUMBER(FIND(" ",'Raw_Data (Before)'!H225)),ISERROR(FIND(".",'Raw_Data (Before)'!H225,FIND("@",'Raw_Data (Before)'!H225)))),"No","Yes")</f>
        <v>Yes</v>
      </c>
      <c r="L225" s="7" t="str">
        <f aca="false">IFERROR(INDEX(Lookup_Tables!$H$5:$H$9,MATCH(UPPER(TRIM('Raw_Data (Before)'!I225)),Lookup_Tables!$G$5:$G$9,0)),"UNMAPPED")</f>
        <v>Active</v>
      </c>
      <c r="M225" s="7" t="str">
        <f aca="false">IF(COUNTIF('Raw_Data (Before)'!$A$5:$A$424,A225)&gt;1,"YES","No")</f>
        <v>No</v>
      </c>
      <c r="N225" s="7" t="str">
        <f aca="false">IF(OR(C225="UNMAPPED",D225="UNMAPPED",F225="No",H225="No",J225="No",K225="No",L225="UNMAPPED",M225="YES"),"NEEDS REVIEW","OK")</f>
        <v>OK</v>
      </c>
    </row>
    <row r="226" customFormat="false" ht="15" hidden="false" customHeight="false" outlineLevel="0" collapsed="false">
      <c r="A226" s="7" t="str">
        <f aca="false">'Raw_Data (Before)'!A226</f>
        <v>EMP0025</v>
      </c>
      <c r="B226" s="7" t="str">
        <f aca="false">PROPER(TRIM('Raw_Data (Before)'!B226))</f>
        <v>Grace Abubakar</v>
      </c>
      <c r="C226" s="7" t="str">
        <f aca="false">IFERROR(INDEX(Lookup_Tables!$B$5:$B$24,MATCH(UPPER(TRIM('Raw_Data (Before)'!C226)),Lookup_Tables!$A$5:$A$24,0)),"UNMAPPED")</f>
        <v>Operations</v>
      </c>
      <c r="D226" s="7" t="str">
        <f aca="false">IFERROR(INDEX(Lookup_Tables!$E$5:$E$8,MATCH(UPPER(TRIM('Raw_Data (Before)'!D226)),Lookup_Tables!$D$5:$D$8,0)),"UNMAPPED")</f>
        <v>Female</v>
      </c>
      <c r="E226" s="7" t="n">
        <f aca="false">'Raw_Data (Before)'!E226</f>
        <v>38</v>
      </c>
      <c r="F226" s="7" t="str">
        <f aca="false">IF(E226="","No",IF(OR(E226&lt;16,E226&gt;75),"No","Yes"))</f>
        <v>Yes</v>
      </c>
      <c r="G226" s="7" t="n">
        <f aca="false">IFERROR(VALUE(SUBSTITUTE(SUBSTITUTE('Raw_Data (Before)'!F226,"₦",""),",","")),"")</f>
        <v>121511</v>
      </c>
      <c r="H226" s="7" t="str">
        <f aca="false">IF(G226="","No",IF(OR(G226&lt;=0,G226&gt;5000000),"No","Yes"))</f>
        <v>Yes</v>
      </c>
      <c r="I226" s="8" t="str">
        <f aca="false">IFERROR(DATEVALUE('Raw_Data (Before)'!G226),"")</f>
        <v/>
      </c>
      <c r="J226" s="7" t="str">
        <f aca="false">IF(I226="","No","Yes")</f>
        <v>No</v>
      </c>
      <c r="K226" s="7" t="str">
        <f aca="false">IF(OR(ISERROR(FIND("@",'Raw_Data (Before)'!H226)),ISNUMBER(FIND("@@",'Raw_Data (Before)'!H226)),ISNUMBER(FIND(" ",'Raw_Data (Before)'!H226)),ISERROR(FIND(".",'Raw_Data (Before)'!H226,FIND("@",'Raw_Data (Before)'!H226)))),"No","Yes")</f>
        <v>Yes</v>
      </c>
      <c r="L226" s="7" t="str">
        <f aca="false">IFERROR(INDEX(Lookup_Tables!$H$5:$H$9,MATCH(UPPER(TRIM('Raw_Data (Before)'!I226)),Lookup_Tables!$G$5:$G$9,0)),"UNMAPPED")</f>
        <v>Inactive</v>
      </c>
      <c r="M226" s="7" t="str">
        <f aca="false">IF(COUNTIF('Raw_Data (Before)'!$A$5:$A$424,A226)&gt;1,"YES","No")</f>
        <v>No</v>
      </c>
      <c r="N226" s="7" t="str">
        <f aca="false">IF(OR(C226="UNMAPPED",D226="UNMAPPED",F226="No",H226="No",J226="No",K226="No",L226="UNMAPPED",M226="YES"),"NEEDS REVIEW","OK")</f>
        <v>NEEDS REVIEW</v>
      </c>
    </row>
    <row r="227" customFormat="false" ht="15" hidden="false" customHeight="false" outlineLevel="0" collapsed="false">
      <c r="A227" s="7" t="str">
        <f aca="false">'Raw_Data (Before)'!A227</f>
        <v>EMP0221</v>
      </c>
      <c r="B227" s="7" t="str">
        <f aca="false">PROPER(TRIM('Raw_Data (Before)'!B227))</f>
        <v>Mary Nwosu</v>
      </c>
      <c r="C227" s="7" t="str">
        <f aca="false">IFERROR(INDEX(Lookup_Tables!$B$5:$B$24,MATCH(UPPER(TRIM('Raw_Data (Before)'!C227)),Lookup_Tables!$A$5:$A$24,0)),"UNMAPPED")</f>
        <v>Customer Service</v>
      </c>
      <c r="D227" s="7" t="str">
        <f aca="false">IFERROR(INDEX(Lookup_Tables!$E$5:$E$8,MATCH(UPPER(TRIM('Raw_Data (Before)'!D227)),Lookup_Tables!$D$5:$D$8,0)),"UNMAPPED")</f>
        <v>Male</v>
      </c>
      <c r="E227" s="7" t="n">
        <f aca="false">'Raw_Data (Before)'!E227</f>
        <v>23</v>
      </c>
      <c r="F227" s="7" t="str">
        <f aca="false">IF(E227="","No",IF(OR(E227&lt;16,E227&gt;75),"No","Yes"))</f>
        <v>Yes</v>
      </c>
      <c r="G227" s="7" t="n">
        <f aca="false">IFERROR(VALUE(SUBSTITUTE(SUBSTITUTE('Raw_Data (Before)'!F227,"₦",""),",","")),"")</f>
        <v>285989</v>
      </c>
      <c r="H227" s="7" t="str">
        <f aca="false">IF(G227="","No",IF(OR(G227&lt;=0,G227&gt;5000000),"No","Yes"))</f>
        <v>Yes</v>
      </c>
      <c r="I227" s="8" t="n">
        <f aca="false">IFERROR(DATEVALUE('Raw_Data (Before)'!G227),"")</f>
        <v>44184</v>
      </c>
      <c r="J227" s="7" t="str">
        <f aca="false">IF(I227="","No","Yes")</f>
        <v>Yes</v>
      </c>
      <c r="K227" s="7" t="str">
        <f aca="false">IF(OR(ISERROR(FIND("@",'Raw_Data (Before)'!H227)),ISNUMBER(FIND("@@",'Raw_Data (Before)'!H227)),ISNUMBER(FIND(" ",'Raw_Data (Before)'!H227)),ISERROR(FIND(".",'Raw_Data (Before)'!H227,FIND("@",'Raw_Data (Before)'!H227)))),"No","Yes")</f>
        <v>Yes</v>
      </c>
      <c r="L227" s="7" t="str">
        <f aca="false">IFERROR(INDEX(Lookup_Tables!$H$5:$H$9,MATCH(UPPER(TRIM('Raw_Data (Before)'!I227)),Lookup_Tables!$G$5:$G$9,0)),"UNMAPPED")</f>
        <v>Active</v>
      </c>
      <c r="M227" s="7" t="str">
        <f aca="false">IF(COUNTIF('Raw_Data (Before)'!$A$5:$A$424,A227)&gt;1,"YES","No")</f>
        <v>No</v>
      </c>
      <c r="N227" s="7" t="str">
        <f aca="false">IF(OR(C227="UNMAPPED",D227="UNMAPPED",F227="No",H227="No",J227="No",K227="No",L227="UNMAPPED",M227="YES"),"NEEDS REVIEW","OK")</f>
        <v>OK</v>
      </c>
    </row>
    <row r="228" customFormat="false" ht="15" hidden="false" customHeight="false" outlineLevel="0" collapsed="false">
      <c r="A228" s="7" t="str">
        <f aca="false">'Raw_Data (Before)'!A228</f>
        <v>EMP0329</v>
      </c>
      <c r="B228" s="7" t="str">
        <f aca="false">PROPER(TRIM('Raw_Data (Before)'!B228))</f>
        <v>James Adamu</v>
      </c>
      <c r="C228" s="7" t="str">
        <f aca="false">IFERROR(INDEX(Lookup_Tables!$B$5:$B$24,MATCH(UPPER(TRIM('Raw_Data (Before)'!C228)),Lookup_Tables!$A$5:$A$24,0)),"UNMAPPED")</f>
        <v>HR</v>
      </c>
      <c r="D228" s="7" t="str">
        <f aca="false">IFERROR(INDEX(Lookup_Tables!$E$5:$E$8,MATCH(UPPER(TRIM('Raw_Data (Before)'!D228)),Lookup_Tables!$D$5:$D$8,0)),"UNMAPPED")</f>
        <v>Male</v>
      </c>
      <c r="E228" s="7" t="n">
        <f aca="false">'Raw_Data (Before)'!E228</f>
        <v>56</v>
      </c>
      <c r="F228" s="7" t="str">
        <f aca="false">IF(E228="","No",IF(OR(E228&lt;16,E228&gt;75),"No","Yes"))</f>
        <v>Yes</v>
      </c>
      <c r="G228" s="7" t="str">
        <f aca="false">IFERROR(VALUE(SUBSTITUTE(SUBSTITUTE('Raw_Data (Before)'!F228,"₦",""),",","")),"")</f>
        <v/>
      </c>
      <c r="H228" s="7" t="str">
        <f aca="false">IF(G228="","No",IF(OR(G228&lt;=0,G228&gt;5000000),"No","Yes"))</f>
        <v>No</v>
      </c>
      <c r="I228" s="8" t="n">
        <f aca="false">IFERROR(DATEVALUE('Raw_Data (Before)'!G228),"")</f>
        <v>45709</v>
      </c>
      <c r="J228" s="7" t="str">
        <f aca="false">IF(I228="","No","Yes")</f>
        <v>Yes</v>
      </c>
      <c r="K228" s="7" t="str">
        <f aca="false">IF(OR(ISERROR(FIND("@",'Raw_Data (Before)'!H228)),ISNUMBER(FIND("@@",'Raw_Data (Before)'!H228)),ISNUMBER(FIND(" ",'Raw_Data (Before)'!H228)),ISERROR(FIND(".",'Raw_Data (Before)'!H228,FIND("@",'Raw_Data (Before)'!H228)))),"No","Yes")</f>
        <v>Yes</v>
      </c>
      <c r="L228" s="7" t="str">
        <f aca="false">IFERROR(INDEX(Lookup_Tables!$H$5:$H$9,MATCH(UPPER(TRIM('Raw_Data (Before)'!I228)),Lookup_Tables!$G$5:$G$9,0)),"UNMAPPED")</f>
        <v>Active</v>
      </c>
      <c r="M228" s="7" t="str">
        <f aca="false">IF(COUNTIF('Raw_Data (Before)'!$A$5:$A$424,A228)&gt;1,"YES","No")</f>
        <v>No</v>
      </c>
      <c r="N228" s="7" t="str">
        <f aca="false">IF(OR(C228="UNMAPPED",D228="UNMAPPED",F228="No",H228="No",J228="No",K228="No",L228="UNMAPPED",M228="YES"),"NEEDS REVIEW","OK")</f>
        <v>NEEDS REVIEW</v>
      </c>
    </row>
    <row r="229" customFormat="false" ht="15" hidden="false" customHeight="false" outlineLevel="0" collapsed="false">
      <c r="A229" s="7" t="str">
        <f aca="false">'Raw_Data (Before)'!A229</f>
        <v>EMP0075</v>
      </c>
      <c r="B229" s="7" t="str">
        <f aca="false">PROPER(TRIM('Raw_Data (Before)'!B229))</f>
        <v>Daniel Obi</v>
      </c>
      <c r="C229" s="7" t="str">
        <f aca="false">IFERROR(INDEX(Lookup_Tables!$B$5:$B$24,MATCH(UPPER(TRIM('Raw_Data (Before)'!C229)),Lookup_Tables!$A$5:$A$24,0)),"UNMAPPED")</f>
        <v>Customer Service</v>
      </c>
      <c r="D229" s="7" t="str">
        <f aca="false">IFERROR(INDEX(Lookup_Tables!$E$5:$E$8,MATCH(UPPER(TRIM('Raw_Data (Before)'!D229)),Lookup_Tables!$D$5:$D$8,0)),"UNMAPPED")</f>
        <v>Female</v>
      </c>
      <c r="E229" s="7" t="n">
        <f aca="false">'Raw_Data (Before)'!E229</f>
        <v>49</v>
      </c>
      <c r="F229" s="7" t="str">
        <f aca="false">IF(E229="","No",IF(OR(E229&lt;16,E229&gt;75),"No","Yes"))</f>
        <v>Yes</v>
      </c>
      <c r="G229" s="7" t="n">
        <f aca="false">IFERROR(VALUE(SUBSTITUTE(SUBSTITUTE('Raw_Data (Before)'!F229,"₦",""),",","")),"")</f>
        <v>608840</v>
      </c>
      <c r="H229" s="7" t="str">
        <f aca="false">IF(G229="","No",IF(OR(G229&lt;=0,G229&gt;5000000),"No","Yes"))</f>
        <v>Yes</v>
      </c>
      <c r="I229" s="8" t="n">
        <f aca="false">IFERROR(DATEVALUE('Raw_Data (Before)'!G229),"")</f>
        <v>44864</v>
      </c>
      <c r="J229" s="7" t="str">
        <f aca="false">IF(I229="","No","Yes")</f>
        <v>Yes</v>
      </c>
      <c r="K229" s="7" t="str">
        <f aca="false">IF(OR(ISERROR(FIND("@",'Raw_Data (Before)'!H229)),ISNUMBER(FIND("@@",'Raw_Data (Before)'!H229)),ISNUMBER(FIND(" ",'Raw_Data (Before)'!H229)),ISERROR(FIND(".",'Raw_Data (Before)'!H229,FIND("@",'Raw_Data (Before)'!H229)))),"No","Yes")</f>
        <v>No</v>
      </c>
      <c r="L229" s="7" t="str">
        <f aca="false">IFERROR(INDEX(Lookup_Tables!$H$5:$H$9,MATCH(UPPER(TRIM('Raw_Data (Before)'!I229)),Lookup_Tables!$G$5:$G$9,0)),"UNMAPPED")</f>
        <v>Active</v>
      </c>
      <c r="M229" s="7" t="str">
        <f aca="false">IF(COUNTIF('Raw_Data (Before)'!$A$5:$A$424,A229)&gt;1,"YES","No")</f>
        <v>No</v>
      </c>
      <c r="N229" s="7" t="str">
        <f aca="false">IF(OR(C229="UNMAPPED",D229="UNMAPPED",F229="No",H229="No",J229="No",K229="No",L229="UNMAPPED",M229="YES"),"NEEDS REVIEW","OK")</f>
        <v>NEEDS REVIEW</v>
      </c>
    </row>
    <row r="230" customFormat="false" ht="15" hidden="false" customHeight="false" outlineLevel="0" collapsed="false">
      <c r="A230" s="7" t="str">
        <f aca="false">'Raw_Data (Before)'!A230</f>
        <v>EMP0044</v>
      </c>
      <c r="B230" s="7" t="str">
        <f aca="false">PROPER(TRIM('Raw_Data (Before)'!B230))</f>
        <v>Ibrahim Duru</v>
      </c>
      <c r="C230" s="7" t="str">
        <f aca="false">IFERROR(INDEX(Lookup_Tables!$B$5:$B$24,MATCH(UPPER(TRIM('Raw_Data (Before)'!C230)),Lookup_Tables!$A$5:$A$24,0)),"UNMAPPED")</f>
        <v>Customer Service</v>
      </c>
      <c r="D230" s="7" t="str">
        <f aca="false">IFERROR(INDEX(Lookup_Tables!$E$5:$E$8,MATCH(UPPER(TRIM('Raw_Data (Before)'!D230)),Lookup_Tables!$D$5:$D$8,0)),"UNMAPPED")</f>
        <v>Male</v>
      </c>
      <c r="E230" s="7" t="n">
        <f aca="false">'Raw_Data (Before)'!E230</f>
        <v>39</v>
      </c>
      <c r="F230" s="7" t="str">
        <f aca="false">IF(E230="","No",IF(OR(E230&lt;16,E230&gt;75),"No","Yes"))</f>
        <v>Yes</v>
      </c>
      <c r="G230" s="7" t="str">
        <f aca="false">IFERROR(VALUE(SUBSTITUTE(SUBSTITUTE('Raw_Data (Before)'!F230,"₦",""),",","")),"")</f>
        <v/>
      </c>
      <c r="H230" s="7" t="str">
        <f aca="false">IF(G230="","No",IF(OR(G230&lt;=0,G230&gt;5000000),"No","Yes"))</f>
        <v>No</v>
      </c>
      <c r="I230" s="8" t="n">
        <f aca="false">IFERROR(DATEVALUE('Raw_Data (Before)'!G230),"")</f>
        <v>44947</v>
      </c>
      <c r="J230" s="7" t="str">
        <f aca="false">IF(I230="","No","Yes")</f>
        <v>Yes</v>
      </c>
      <c r="K230" s="7" t="str">
        <f aca="false">IF(OR(ISERROR(FIND("@",'Raw_Data (Before)'!H230)),ISNUMBER(FIND("@@",'Raw_Data (Before)'!H230)),ISNUMBER(FIND(" ",'Raw_Data (Before)'!H230)),ISERROR(FIND(".",'Raw_Data (Before)'!H230,FIND("@",'Raw_Data (Before)'!H230)))),"No","Yes")</f>
        <v>Yes</v>
      </c>
      <c r="L230" s="7" t="str">
        <f aca="false">IFERROR(INDEX(Lookup_Tables!$H$5:$H$9,MATCH(UPPER(TRIM('Raw_Data (Before)'!I230)),Lookup_Tables!$G$5:$G$9,0)),"UNMAPPED")</f>
        <v>Active</v>
      </c>
      <c r="M230" s="7" t="str">
        <f aca="false">IF(COUNTIF('Raw_Data (Before)'!$A$5:$A$424,A230)&gt;1,"YES","No")</f>
        <v>YES</v>
      </c>
      <c r="N230" s="7" t="str">
        <f aca="false">IF(OR(C230="UNMAPPED",D230="UNMAPPED",F230="No",H230="No",J230="No",K230="No",L230="UNMAPPED",M230="YES"),"NEEDS REVIEW","OK")</f>
        <v>NEEDS REVIEW</v>
      </c>
    </row>
    <row r="231" customFormat="false" ht="15" hidden="false" customHeight="false" outlineLevel="0" collapsed="false">
      <c r="A231" s="7" t="str">
        <f aca="false">'Raw_Data (Before)'!A231</f>
        <v>EMP0199</v>
      </c>
      <c r="B231" s="7" t="str">
        <f aca="false">PROPER(TRIM('Raw_Data (Before)'!B231))</f>
        <v>Comfort Duru</v>
      </c>
      <c r="C231" s="7" t="str">
        <f aca="false">IFERROR(INDEX(Lookup_Tables!$B$5:$B$24,MATCH(UPPER(TRIM('Raw_Data (Before)'!C231)),Lookup_Tables!$A$5:$A$24,0)),"UNMAPPED")</f>
        <v>Sales</v>
      </c>
      <c r="D231" s="7" t="str">
        <f aca="false">IFERROR(INDEX(Lookup_Tables!$E$5:$E$8,MATCH(UPPER(TRIM('Raw_Data (Before)'!D231)),Lookup_Tables!$D$5:$D$8,0)),"UNMAPPED")</f>
        <v>Male</v>
      </c>
      <c r="E231" s="7" t="n">
        <f aca="false">'Raw_Data (Before)'!E231</f>
        <v>59</v>
      </c>
      <c r="F231" s="7" t="str">
        <f aca="false">IF(E231="","No",IF(OR(E231&lt;16,E231&gt;75),"No","Yes"))</f>
        <v>Yes</v>
      </c>
      <c r="G231" s="7" t="n">
        <f aca="false">IFERROR(VALUE(SUBSTITUTE(SUBSTITUTE('Raw_Data (Before)'!F231,"₦",""),",","")),"")</f>
        <v>491633</v>
      </c>
      <c r="H231" s="7" t="str">
        <f aca="false">IF(G231="","No",IF(OR(G231&lt;=0,G231&gt;5000000),"No","Yes"))</f>
        <v>Yes</v>
      </c>
      <c r="I231" s="8" t="str">
        <f aca="false">IFERROR(DATEVALUE('Raw_Data (Before)'!G231),"")</f>
        <v/>
      </c>
      <c r="J231" s="7" t="str">
        <f aca="false">IF(I231="","No","Yes")</f>
        <v>No</v>
      </c>
      <c r="K231" s="7" t="str">
        <f aca="false">IF(OR(ISERROR(FIND("@",'Raw_Data (Before)'!H231)),ISNUMBER(FIND("@@",'Raw_Data (Before)'!H231)),ISNUMBER(FIND(" ",'Raw_Data (Before)'!H231)),ISERROR(FIND(".",'Raw_Data (Before)'!H231,FIND("@",'Raw_Data (Before)'!H231)))),"No","Yes")</f>
        <v>Yes</v>
      </c>
      <c r="L231" s="7" t="str">
        <f aca="false">IFERROR(INDEX(Lookup_Tables!$H$5:$H$9,MATCH(UPPER(TRIM('Raw_Data (Before)'!I231)),Lookup_Tables!$G$5:$G$9,0)),"UNMAPPED")</f>
        <v>Active</v>
      </c>
      <c r="M231" s="7" t="str">
        <f aca="false">IF(COUNTIF('Raw_Data (Before)'!$A$5:$A$424,A231)&gt;1,"YES","No")</f>
        <v>YES</v>
      </c>
      <c r="N231" s="7" t="str">
        <f aca="false">IF(OR(C231="UNMAPPED",D231="UNMAPPED",F231="No",H231="No",J231="No",K231="No",L231="UNMAPPED",M231="YES"),"NEEDS REVIEW","OK")</f>
        <v>NEEDS REVIEW</v>
      </c>
    </row>
    <row r="232" customFormat="false" ht="15" hidden="false" customHeight="false" outlineLevel="0" collapsed="false">
      <c r="A232" s="7" t="str">
        <f aca="false">'Raw_Data (Before)'!A232</f>
        <v>EMP0180</v>
      </c>
      <c r="B232" s="7" t="str">
        <f aca="false">PROPER(TRIM('Raw_Data (Before)'!B232))</f>
        <v>Hauwa Bello</v>
      </c>
      <c r="C232" s="7" t="str">
        <f aca="false">IFERROR(INDEX(Lookup_Tables!$B$5:$B$24,MATCH(UPPER(TRIM('Raw_Data (Before)'!C232)),Lookup_Tables!$A$5:$A$24,0)),"UNMAPPED")</f>
        <v>HR</v>
      </c>
      <c r="D232" s="7" t="str">
        <f aca="false">IFERROR(INDEX(Lookup_Tables!$E$5:$E$8,MATCH(UPPER(TRIM('Raw_Data (Before)'!D232)),Lookup_Tables!$D$5:$D$8,0)),"UNMAPPED")</f>
        <v>Male</v>
      </c>
      <c r="E232" s="7" t="n">
        <f aca="false">'Raw_Data (Before)'!E232</f>
        <v>36</v>
      </c>
      <c r="F232" s="7" t="str">
        <f aca="false">IF(E232="","No",IF(OR(E232&lt;16,E232&gt;75),"No","Yes"))</f>
        <v>Yes</v>
      </c>
      <c r="G232" s="7" t="n">
        <f aca="false">IFERROR(VALUE(SUBSTITUTE(SUBSTITUTE('Raw_Data (Before)'!F232,"₦",""),",","")),"")</f>
        <v>142267</v>
      </c>
      <c r="H232" s="7" t="str">
        <f aca="false">IF(G232="","No",IF(OR(G232&lt;=0,G232&gt;5000000),"No","Yes"))</f>
        <v>Yes</v>
      </c>
      <c r="I232" s="8" t="str">
        <f aca="false">IFERROR(DATEVALUE('Raw_Data (Before)'!G232),"")</f>
        <v/>
      </c>
      <c r="J232" s="7" t="str">
        <f aca="false">IF(I232="","No","Yes")</f>
        <v>No</v>
      </c>
      <c r="K232" s="7" t="str">
        <f aca="false">IF(OR(ISERROR(FIND("@",'Raw_Data (Before)'!H232)),ISNUMBER(FIND("@@",'Raw_Data (Before)'!H232)),ISNUMBER(FIND(" ",'Raw_Data (Before)'!H232)),ISERROR(FIND(".",'Raw_Data (Before)'!H232,FIND("@",'Raw_Data (Before)'!H232)))),"No","Yes")</f>
        <v>Yes</v>
      </c>
      <c r="L232" s="7" t="str">
        <f aca="false">IFERROR(INDEX(Lookup_Tables!$H$5:$H$9,MATCH(UPPER(TRIM('Raw_Data (Before)'!I232)),Lookup_Tables!$G$5:$G$9,0)),"UNMAPPED")</f>
        <v>Active</v>
      </c>
      <c r="M232" s="7" t="str">
        <f aca="false">IF(COUNTIF('Raw_Data (Before)'!$A$5:$A$424,A232)&gt;1,"YES","No")</f>
        <v>No</v>
      </c>
      <c r="N232" s="7" t="str">
        <f aca="false">IF(OR(C232="UNMAPPED",D232="UNMAPPED",F232="No",H232="No",J232="No",K232="No",L232="UNMAPPED",M232="YES"),"NEEDS REVIEW","OK")</f>
        <v>NEEDS REVIEW</v>
      </c>
    </row>
    <row r="233" customFormat="false" ht="15" hidden="false" customHeight="false" outlineLevel="0" collapsed="false">
      <c r="A233" s="7" t="str">
        <f aca="false">'Raw_Data (Before)'!A233</f>
        <v>EMP0033</v>
      </c>
      <c r="B233" s="7" t="str">
        <f aca="false">PROPER(TRIM('Raw_Data (Before)'!B233))</f>
        <v>Ruth Nnamdi</v>
      </c>
      <c r="C233" s="7" t="str">
        <f aca="false">IFERROR(INDEX(Lookup_Tables!$B$5:$B$24,MATCH(UPPER(TRIM('Raw_Data (Before)'!C233)),Lookup_Tables!$A$5:$A$24,0)),"UNMAPPED")</f>
        <v>Customer Service</v>
      </c>
      <c r="D233" s="7" t="str">
        <f aca="false">IFERROR(INDEX(Lookup_Tables!$E$5:$E$8,MATCH(UPPER(TRIM('Raw_Data (Before)'!D233)),Lookup_Tables!$D$5:$D$8,0)),"UNMAPPED")</f>
        <v>Male</v>
      </c>
      <c r="E233" s="7" t="n">
        <f aca="false">'Raw_Data (Before)'!E233</f>
        <v>0</v>
      </c>
      <c r="F233" s="7" t="str">
        <f aca="false">IF(E233="","No",IF(OR(E233&lt;16,E233&gt;75),"No","Yes"))</f>
        <v>No</v>
      </c>
      <c r="G233" s="7" t="n">
        <f aca="false">IFERROR(VALUE(SUBSTITUTE(SUBSTITUTE('Raw_Data (Before)'!F233,"₦",""),",","")),"")</f>
        <v>103586</v>
      </c>
      <c r="H233" s="7" t="str">
        <f aca="false">IF(G233="","No",IF(OR(G233&lt;=0,G233&gt;5000000),"No","Yes"))</f>
        <v>Yes</v>
      </c>
      <c r="I233" s="8" t="n">
        <f aca="false">IFERROR(DATEVALUE('Raw_Data (Before)'!G233),"")</f>
        <v>44737</v>
      </c>
      <c r="J233" s="7" t="str">
        <f aca="false">IF(I233="","No","Yes")</f>
        <v>Yes</v>
      </c>
      <c r="K233" s="7" t="str">
        <f aca="false">IF(OR(ISERROR(FIND("@",'Raw_Data (Before)'!H233)),ISNUMBER(FIND("@@",'Raw_Data (Before)'!H233)),ISNUMBER(FIND(" ",'Raw_Data (Before)'!H233)),ISERROR(FIND(".",'Raw_Data (Before)'!H233,FIND("@",'Raw_Data (Before)'!H233)))),"No","Yes")</f>
        <v>Yes</v>
      </c>
      <c r="L233" s="7" t="str">
        <f aca="false">IFERROR(INDEX(Lookup_Tables!$H$5:$H$9,MATCH(UPPER(TRIM('Raw_Data (Before)'!I233)),Lookup_Tables!$G$5:$G$9,0)),"UNMAPPED")</f>
        <v>Active</v>
      </c>
      <c r="M233" s="7" t="str">
        <f aca="false">IF(COUNTIF('Raw_Data (Before)'!$A$5:$A$424,A233)&gt;1,"YES","No")</f>
        <v>No</v>
      </c>
      <c r="N233" s="7" t="str">
        <f aca="false">IF(OR(C233="UNMAPPED",D233="UNMAPPED",F233="No",H233="No",J233="No",K233="No",L233="UNMAPPED",M233="YES"),"NEEDS REVIEW","OK")</f>
        <v>NEEDS REVIEW</v>
      </c>
    </row>
    <row r="234" customFormat="false" ht="15" hidden="false" customHeight="false" outlineLevel="0" collapsed="false">
      <c r="A234" s="7" t="str">
        <f aca="false">'Raw_Data (Before)'!A234</f>
        <v>EMP0363</v>
      </c>
      <c r="B234" s="7" t="str">
        <f aca="false">PROPER(TRIM('Raw_Data (Before)'!B234))</f>
        <v>Ibrahim Okonkwo</v>
      </c>
      <c r="C234" s="7" t="str">
        <f aca="false">IFERROR(INDEX(Lookup_Tables!$B$5:$B$24,MATCH(UPPER(TRIM('Raw_Data (Before)'!C234)),Lookup_Tables!$A$5:$A$24,0)),"UNMAPPED")</f>
        <v>Marketing</v>
      </c>
      <c r="D234" s="7" t="str">
        <f aca="false">IFERROR(INDEX(Lookup_Tables!$E$5:$E$8,MATCH(UPPER(TRIM('Raw_Data (Before)'!D234)),Lookup_Tables!$D$5:$D$8,0)),"UNMAPPED")</f>
        <v>Male</v>
      </c>
      <c r="E234" s="7" t="n">
        <f aca="false">'Raw_Data (Before)'!E234</f>
        <v>40</v>
      </c>
      <c r="F234" s="7" t="str">
        <f aca="false">IF(E234="","No",IF(OR(E234&lt;16,E234&gt;75),"No","Yes"))</f>
        <v>Yes</v>
      </c>
      <c r="G234" s="7" t="str">
        <f aca="false">IFERROR(VALUE(SUBSTITUTE(SUBSTITUTE('Raw_Data (Before)'!F234,"₦",""),",","")),"")</f>
        <v/>
      </c>
      <c r="H234" s="7" t="str">
        <f aca="false">IF(G234="","No",IF(OR(G234&lt;=0,G234&gt;5000000),"No","Yes"))</f>
        <v>No</v>
      </c>
      <c r="I234" s="8" t="n">
        <f aca="false">IFERROR(DATEVALUE('Raw_Data (Before)'!G234),"")</f>
        <v>43247</v>
      </c>
      <c r="J234" s="7" t="str">
        <f aca="false">IF(I234="","No","Yes")</f>
        <v>Yes</v>
      </c>
      <c r="K234" s="7" t="str">
        <f aca="false">IF(OR(ISERROR(FIND("@",'Raw_Data (Before)'!H234)),ISNUMBER(FIND("@@",'Raw_Data (Before)'!H234)),ISNUMBER(FIND(" ",'Raw_Data (Before)'!H234)),ISERROR(FIND(".",'Raw_Data (Before)'!H234,FIND("@",'Raw_Data (Before)'!H234)))),"No","Yes")</f>
        <v>Yes</v>
      </c>
      <c r="L234" s="7" t="str">
        <f aca="false">IFERROR(INDEX(Lookup_Tables!$H$5:$H$9,MATCH(UPPER(TRIM('Raw_Data (Before)'!I234)),Lookup_Tables!$G$5:$G$9,0)),"UNMAPPED")</f>
        <v>Active</v>
      </c>
      <c r="M234" s="7" t="str">
        <f aca="false">IF(COUNTIF('Raw_Data (Before)'!$A$5:$A$424,A234)&gt;1,"YES","No")</f>
        <v>No</v>
      </c>
      <c r="N234" s="7" t="str">
        <f aca="false">IF(OR(C234="UNMAPPED",D234="UNMAPPED",F234="No",H234="No",J234="No",K234="No",L234="UNMAPPED",M234="YES"),"NEEDS REVIEW","OK")</f>
        <v>NEEDS REVIEW</v>
      </c>
    </row>
    <row r="235" customFormat="false" ht="15" hidden="false" customHeight="false" outlineLevel="0" collapsed="false">
      <c r="A235" s="7" t="str">
        <f aca="false">'Raw_Data (Before)'!A235</f>
        <v>EMP0359</v>
      </c>
      <c r="B235" s="7" t="str">
        <f aca="false">PROPER(TRIM('Raw_Data (Before)'!B235))</f>
        <v>Chidi Abubakar</v>
      </c>
      <c r="C235" s="7" t="str">
        <f aca="false">IFERROR(INDEX(Lookup_Tables!$B$5:$B$24,MATCH(UPPER(TRIM('Raw_Data (Before)'!C235)),Lookup_Tables!$A$5:$A$24,0)),"UNMAPPED")</f>
        <v>IT</v>
      </c>
      <c r="D235" s="7" t="str">
        <f aca="false">IFERROR(INDEX(Lookup_Tables!$E$5:$E$8,MATCH(UPPER(TRIM('Raw_Data (Before)'!D235)),Lookup_Tables!$D$5:$D$8,0)),"UNMAPPED")</f>
        <v>Male</v>
      </c>
      <c r="E235" s="7" t="n">
        <f aca="false">'Raw_Data (Before)'!E235</f>
        <v>21</v>
      </c>
      <c r="F235" s="7" t="str">
        <f aca="false">IF(E235="","No",IF(OR(E235&lt;16,E235&gt;75),"No","Yes"))</f>
        <v>Yes</v>
      </c>
      <c r="G235" s="7" t="n">
        <f aca="false">IFERROR(VALUE(SUBSTITUTE(SUBSTITUTE('Raw_Data (Before)'!F235,"₦",""),",","")),"")</f>
        <v>604614</v>
      </c>
      <c r="H235" s="7" t="str">
        <f aca="false">IF(G235="","No",IF(OR(G235&lt;=0,G235&gt;5000000),"No","Yes"))</f>
        <v>Yes</v>
      </c>
      <c r="I235" s="8" t="n">
        <f aca="false">IFERROR(DATEVALUE('Raw_Data (Before)'!G235),"")</f>
        <v>43817</v>
      </c>
      <c r="J235" s="7" t="str">
        <f aca="false">IF(I235="","No","Yes")</f>
        <v>Yes</v>
      </c>
      <c r="K235" s="7" t="str">
        <f aca="false">IF(OR(ISERROR(FIND("@",'Raw_Data (Before)'!H235)),ISNUMBER(FIND("@@",'Raw_Data (Before)'!H235)),ISNUMBER(FIND(" ",'Raw_Data (Before)'!H235)),ISERROR(FIND(".",'Raw_Data (Before)'!H235,FIND("@",'Raw_Data (Before)'!H235)))),"No","Yes")</f>
        <v>Yes</v>
      </c>
      <c r="L235" s="7" t="str">
        <f aca="false">IFERROR(INDEX(Lookup_Tables!$H$5:$H$9,MATCH(UPPER(TRIM('Raw_Data (Before)'!I235)),Lookup_Tables!$G$5:$G$9,0)),"UNMAPPED")</f>
        <v>Active</v>
      </c>
      <c r="M235" s="7" t="str">
        <f aca="false">IF(COUNTIF('Raw_Data (Before)'!$A$5:$A$424,A235)&gt;1,"YES","No")</f>
        <v>No</v>
      </c>
      <c r="N235" s="7" t="str">
        <f aca="false">IF(OR(C235="UNMAPPED",D235="UNMAPPED",F235="No",H235="No",J235="No",K235="No",L235="UNMAPPED",M235="YES"),"NEEDS REVIEW","OK")</f>
        <v>OK</v>
      </c>
    </row>
    <row r="236" customFormat="false" ht="15" hidden="false" customHeight="false" outlineLevel="0" collapsed="false">
      <c r="A236" s="7" t="str">
        <f aca="false">'Raw_Data (Before)'!A236</f>
        <v>EMP0145</v>
      </c>
      <c r="B236" s="7" t="str">
        <f aca="false">PROPER(TRIM('Raw_Data (Before)'!B236))</f>
        <v>Samuel Duru</v>
      </c>
      <c r="C236" s="7" t="str">
        <f aca="false">IFERROR(INDEX(Lookup_Tables!$B$5:$B$24,MATCH(UPPER(TRIM('Raw_Data (Before)'!C236)),Lookup_Tables!$A$5:$A$24,0)),"UNMAPPED")</f>
        <v>Customer Service</v>
      </c>
      <c r="D236" s="7" t="str">
        <f aca="false">IFERROR(INDEX(Lookup_Tables!$E$5:$E$8,MATCH(UPPER(TRIM('Raw_Data (Before)'!D236)),Lookup_Tables!$D$5:$D$8,0)),"UNMAPPED")</f>
        <v>Female</v>
      </c>
      <c r="E236" s="7" t="n">
        <f aca="false">'Raw_Data (Before)'!E236</f>
        <v>32</v>
      </c>
      <c r="F236" s="7" t="str">
        <f aca="false">IF(E236="","No",IF(OR(E236&lt;16,E236&gt;75),"No","Yes"))</f>
        <v>Yes</v>
      </c>
      <c r="G236" s="7" t="n">
        <f aca="false">IFERROR(VALUE(SUBSTITUTE(SUBSTITUTE('Raw_Data (Before)'!F236,"₦",""),",","")),"")</f>
        <v>127364</v>
      </c>
      <c r="H236" s="7" t="str">
        <f aca="false">IF(G236="","No",IF(OR(G236&lt;=0,G236&gt;5000000),"No","Yes"))</f>
        <v>Yes</v>
      </c>
      <c r="I236" s="8" t="n">
        <f aca="false">IFERROR(DATEVALUE('Raw_Data (Before)'!G236),"")</f>
        <v>43522</v>
      </c>
      <c r="J236" s="7" t="str">
        <f aca="false">IF(I236="","No","Yes")</f>
        <v>Yes</v>
      </c>
      <c r="K236" s="7" t="str">
        <f aca="false">IF(OR(ISERROR(FIND("@",'Raw_Data (Before)'!H236)),ISNUMBER(FIND("@@",'Raw_Data (Before)'!H236)),ISNUMBER(FIND(" ",'Raw_Data (Before)'!H236)),ISERROR(FIND(".",'Raw_Data (Before)'!H236,FIND("@",'Raw_Data (Before)'!H236)))),"No","Yes")</f>
        <v>Yes</v>
      </c>
      <c r="L236" s="7" t="str">
        <f aca="false">IFERROR(INDEX(Lookup_Tables!$H$5:$H$9,MATCH(UPPER(TRIM('Raw_Data (Before)'!I236)),Lookup_Tables!$G$5:$G$9,0)),"UNMAPPED")</f>
        <v>Active</v>
      </c>
      <c r="M236" s="7" t="str">
        <f aca="false">IF(COUNTIF('Raw_Data (Before)'!$A$5:$A$424,A236)&gt;1,"YES","No")</f>
        <v>No</v>
      </c>
      <c r="N236" s="7" t="str">
        <f aca="false">IF(OR(C236="UNMAPPED",D236="UNMAPPED",F236="No",H236="No",J236="No",K236="No",L236="UNMAPPED",M236="YES"),"NEEDS REVIEW","OK")</f>
        <v>OK</v>
      </c>
    </row>
    <row r="237" customFormat="false" ht="15" hidden="false" customHeight="false" outlineLevel="0" collapsed="false">
      <c r="A237" s="7" t="str">
        <f aca="false">'Raw_Data (Before)'!A237</f>
        <v>EMP0318</v>
      </c>
      <c r="B237" s="7" t="str">
        <f aca="false">PROPER(TRIM('Raw_Data (Before)'!B237))</f>
        <v>Chiamaka Chukwu</v>
      </c>
      <c r="C237" s="7" t="str">
        <f aca="false">IFERROR(INDEX(Lookup_Tables!$B$5:$B$24,MATCH(UPPER(TRIM('Raw_Data (Before)'!C237)),Lookup_Tables!$A$5:$A$24,0)),"UNMAPPED")</f>
        <v>Operations</v>
      </c>
      <c r="D237" s="7" t="str">
        <f aca="false">IFERROR(INDEX(Lookup_Tables!$E$5:$E$8,MATCH(UPPER(TRIM('Raw_Data (Before)'!D237)),Lookup_Tables!$D$5:$D$8,0)),"UNMAPPED")</f>
        <v>Female</v>
      </c>
      <c r="E237" s="7" t="n">
        <f aca="false">'Raw_Data (Before)'!E237</f>
        <v>46</v>
      </c>
      <c r="F237" s="7" t="str">
        <f aca="false">IF(E237="","No",IF(OR(E237&lt;16,E237&gt;75),"No","Yes"))</f>
        <v>Yes</v>
      </c>
      <c r="G237" s="7" t="n">
        <f aca="false">IFERROR(VALUE(SUBSTITUTE(SUBSTITUTE('Raw_Data (Before)'!F237,"₦",""),",","")),"")</f>
        <v>46766500</v>
      </c>
      <c r="H237" s="7" t="str">
        <f aca="false">IF(G237="","No",IF(OR(G237&lt;=0,G237&gt;5000000),"No","Yes"))</f>
        <v>No</v>
      </c>
      <c r="I237" s="8" t="n">
        <f aca="false">IFERROR(DATEVALUE('Raw_Data (Before)'!G237),"")</f>
        <v>45871</v>
      </c>
      <c r="J237" s="7" t="str">
        <f aca="false">IF(I237="","No","Yes")</f>
        <v>Yes</v>
      </c>
      <c r="K237" s="7" t="str">
        <f aca="false">IF(OR(ISERROR(FIND("@",'Raw_Data (Before)'!H237)),ISNUMBER(FIND("@@",'Raw_Data (Before)'!H237)),ISNUMBER(FIND(" ",'Raw_Data (Before)'!H237)),ISERROR(FIND(".",'Raw_Data (Before)'!H237,FIND("@",'Raw_Data (Before)'!H237)))),"No","Yes")</f>
        <v>Yes</v>
      </c>
      <c r="L237" s="7" t="str">
        <f aca="false">IFERROR(INDEX(Lookup_Tables!$H$5:$H$9,MATCH(UPPER(TRIM('Raw_Data (Before)'!I237)),Lookup_Tables!$G$5:$G$9,0)),"UNMAPPED")</f>
        <v>Active</v>
      </c>
      <c r="M237" s="7" t="str">
        <f aca="false">IF(COUNTIF('Raw_Data (Before)'!$A$5:$A$424,A237)&gt;1,"YES","No")</f>
        <v>No</v>
      </c>
      <c r="N237" s="7" t="str">
        <f aca="false">IF(OR(C237="UNMAPPED",D237="UNMAPPED",F237="No",H237="No",J237="No",K237="No",L237="UNMAPPED",M237="YES"),"NEEDS REVIEW","OK")</f>
        <v>NEEDS REVIEW</v>
      </c>
    </row>
    <row r="238" customFormat="false" ht="15" hidden="false" customHeight="false" outlineLevel="0" collapsed="false">
      <c r="A238" s="7" t="str">
        <f aca="false">'Raw_Data (Before)'!A238</f>
        <v>EMP0235</v>
      </c>
      <c r="B238" s="7" t="str">
        <f aca="false">PROPER(TRIM('Raw_Data (Before)'!B238))</f>
        <v>Chidi Yakubu</v>
      </c>
      <c r="C238" s="7" t="str">
        <f aca="false">IFERROR(INDEX(Lookup_Tables!$B$5:$B$24,MATCH(UPPER(TRIM('Raw_Data (Before)'!C238)),Lookup_Tables!$A$5:$A$24,0)),"UNMAPPED")</f>
        <v>Customer Service</v>
      </c>
      <c r="D238" s="7" t="str">
        <f aca="false">IFERROR(INDEX(Lookup_Tables!$E$5:$E$8,MATCH(UPPER(TRIM('Raw_Data (Before)'!D238)),Lookup_Tables!$D$5:$D$8,0)),"UNMAPPED")</f>
        <v>Female</v>
      </c>
      <c r="E238" s="7" t="n">
        <f aca="false">'Raw_Data (Before)'!E238</f>
        <v>42</v>
      </c>
      <c r="F238" s="7" t="str">
        <f aca="false">IF(E238="","No",IF(OR(E238&lt;16,E238&gt;75),"No","Yes"))</f>
        <v>Yes</v>
      </c>
      <c r="G238" s="7" t="n">
        <f aca="false">IFERROR(VALUE(SUBSTITUTE(SUBSTITUTE('Raw_Data (Before)'!F238,"₦",""),",","")),"")</f>
        <v>279492</v>
      </c>
      <c r="H238" s="7" t="str">
        <f aca="false">IF(G238="","No",IF(OR(G238&lt;=0,G238&gt;5000000),"No","Yes"))</f>
        <v>Yes</v>
      </c>
      <c r="I238" s="8" t="n">
        <f aca="false">IFERROR(DATEVALUE('Raw_Data (Before)'!G238),"")</f>
        <v>43306</v>
      </c>
      <c r="J238" s="7" t="str">
        <f aca="false">IF(I238="","No","Yes")</f>
        <v>Yes</v>
      </c>
      <c r="K238" s="7" t="str">
        <f aca="false">IF(OR(ISERROR(FIND("@",'Raw_Data (Before)'!H238)),ISNUMBER(FIND("@@",'Raw_Data (Before)'!H238)),ISNUMBER(FIND(" ",'Raw_Data (Before)'!H238)),ISERROR(FIND(".",'Raw_Data (Before)'!H238,FIND("@",'Raw_Data (Before)'!H238)))),"No","Yes")</f>
        <v>No</v>
      </c>
      <c r="L238" s="7" t="str">
        <f aca="false">IFERROR(INDEX(Lookup_Tables!$H$5:$H$9,MATCH(UPPER(TRIM('Raw_Data (Before)'!I238)),Lookup_Tables!$G$5:$G$9,0)),"UNMAPPED")</f>
        <v>Active</v>
      </c>
      <c r="M238" s="7" t="str">
        <f aca="false">IF(COUNTIF('Raw_Data (Before)'!$A$5:$A$424,A238)&gt;1,"YES","No")</f>
        <v>No</v>
      </c>
      <c r="N238" s="7" t="str">
        <f aca="false">IF(OR(C238="UNMAPPED",D238="UNMAPPED",F238="No",H238="No",J238="No",K238="No",L238="UNMAPPED",M238="YES"),"NEEDS REVIEW","OK")</f>
        <v>NEEDS REVIEW</v>
      </c>
    </row>
    <row r="239" customFormat="false" ht="15" hidden="false" customHeight="false" outlineLevel="0" collapsed="false">
      <c r="A239" s="7" t="str">
        <f aca="false">'Raw_Data (Before)'!A239</f>
        <v>EMP0279</v>
      </c>
      <c r="B239" s="7" t="str">
        <f aca="false">PROPER(TRIM('Raw_Data (Before)'!B239))</f>
        <v>Mary Nwosu</v>
      </c>
      <c r="C239" s="7" t="str">
        <f aca="false">IFERROR(INDEX(Lookup_Tables!$B$5:$B$24,MATCH(UPPER(TRIM('Raw_Data (Before)'!C239)),Lookup_Tables!$A$5:$A$24,0)),"UNMAPPED")</f>
        <v>HR</v>
      </c>
      <c r="D239" s="7" t="str">
        <f aca="false">IFERROR(INDEX(Lookup_Tables!$E$5:$E$8,MATCH(UPPER(TRIM('Raw_Data (Before)'!D239)),Lookup_Tables!$D$5:$D$8,0)),"UNMAPPED")</f>
        <v>Female</v>
      </c>
      <c r="E239" s="7" t="n">
        <f aca="false">'Raw_Data (Before)'!E239</f>
        <v>43</v>
      </c>
      <c r="F239" s="7" t="str">
        <f aca="false">IF(E239="","No",IF(OR(E239&lt;16,E239&gt;75),"No","Yes"))</f>
        <v>Yes</v>
      </c>
      <c r="G239" s="7" t="n">
        <f aca="false">IFERROR(VALUE(SUBSTITUTE(SUBSTITUTE('Raw_Data (Before)'!F239,"₦",""),",","")),"")</f>
        <v>40059900</v>
      </c>
      <c r="H239" s="7" t="str">
        <f aca="false">IF(G239="","No",IF(OR(G239&lt;=0,G239&gt;5000000),"No","Yes"))</f>
        <v>No</v>
      </c>
      <c r="I239" s="8" t="n">
        <f aca="false">IFERROR(DATEVALUE('Raw_Data (Before)'!G239),"")</f>
        <v>45416</v>
      </c>
      <c r="J239" s="7" t="str">
        <f aca="false">IF(I239="","No","Yes")</f>
        <v>Yes</v>
      </c>
      <c r="K239" s="7" t="str">
        <f aca="false">IF(OR(ISERROR(FIND("@",'Raw_Data (Before)'!H239)),ISNUMBER(FIND("@@",'Raw_Data (Before)'!H239)),ISNUMBER(FIND(" ",'Raw_Data (Before)'!H239)),ISERROR(FIND(".",'Raw_Data (Before)'!H239,FIND("@",'Raw_Data (Before)'!H239)))),"No","Yes")</f>
        <v>Yes</v>
      </c>
      <c r="L239" s="7" t="str">
        <f aca="false">IFERROR(INDEX(Lookup_Tables!$H$5:$H$9,MATCH(UPPER(TRIM('Raw_Data (Before)'!I239)),Lookup_Tables!$G$5:$G$9,0)),"UNMAPPED")</f>
        <v>Active</v>
      </c>
      <c r="M239" s="7" t="str">
        <f aca="false">IF(COUNTIF('Raw_Data (Before)'!$A$5:$A$424,A239)&gt;1,"YES","No")</f>
        <v>No</v>
      </c>
      <c r="N239" s="7" t="str">
        <f aca="false">IF(OR(C239="UNMAPPED",D239="UNMAPPED",F239="No",H239="No",J239="No",K239="No",L239="UNMAPPED",M239="YES"),"NEEDS REVIEW","OK")</f>
        <v>NEEDS REVIEW</v>
      </c>
    </row>
    <row r="240" customFormat="false" ht="15" hidden="false" customHeight="false" outlineLevel="0" collapsed="false">
      <c r="A240" s="7" t="str">
        <f aca="false">'Raw_Data (Before)'!A240</f>
        <v>EMP0349</v>
      </c>
      <c r="B240" s="7" t="str">
        <f aca="false">PROPER(TRIM('Raw_Data (Before)'!B240))</f>
        <v>Gabriel Yakubu</v>
      </c>
      <c r="C240" s="7" t="str">
        <f aca="false">IFERROR(INDEX(Lookup_Tables!$B$5:$B$24,MATCH(UPPER(TRIM('Raw_Data (Before)'!C240)),Lookup_Tables!$A$5:$A$24,0)),"UNMAPPED")</f>
        <v>Operations</v>
      </c>
      <c r="D240" s="7" t="str">
        <f aca="false">IFERROR(INDEX(Lookup_Tables!$E$5:$E$8,MATCH(UPPER(TRIM('Raw_Data (Before)'!D240)),Lookup_Tables!$D$5:$D$8,0)),"UNMAPPED")</f>
        <v>Male</v>
      </c>
      <c r="E240" s="7" t="n">
        <f aca="false">'Raw_Data (Before)'!E240</f>
        <v>43</v>
      </c>
      <c r="F240" s="7" t="str">
        <f aca="false">IF(E240="","No",IF(OR(E240&lt;16,E240&gt;75),"No","Yes"))</f>
        <v>Yes</v>
      </c>
      <c r="G240" s="7" t="n">
        <f aca="false">IFERROR(VALUE(SUBSTITUTE(SUBSTITUTE('Raw_Data (Before)'!F240,"₦",""),",","")),"")</f>
        <v>815408</v>
      </c>
      <c r="H240" s="7" t="str">
        <f aca="false">IF(G240="","No",IF(OR(G240&lt;=0,G240&gt;5000000),"No","Yes"))</f>
        <v>Yes</v>
      </c>
      <c r="I240" s="8" t="n">
        <f aca="false">IFERROR(DATEVALUE('Raw_Data (Before)'!G240),"")</f>
        <v>45238</v>
      </c>
      <c r="J240" s="7" t="str">
        <f aca="false">IF(I240="","No","Yes")</f>
        <v>Yes</v>
      </c>
      <c r="K240" s="7" t="str">
        <f aca="false">IF(OR(ISERROR(FIND("@",'Raw_Data (Before)'!H240)),ISNUMBER(FIND("@@",'Raw_Data (Before)'!H240)),ISNUMBER(FIND(" ",'Raw_Data (Before)'!H240)),ISERROR(FIND(".",'Raw_Data (Before)'!H240,FIND("@",'Raw_Data (Before)'!H240)))),"No","Yes")</f>
        <v>No</v>
      </c>
      <c r="L240" s="7" t="str">
        <f aca="false">IFERROR(INDEX(Lookup_Tables!$H$5:$H$9,MATCH(UPPER(TRIM('Raw_Data (Before)'!I240)),Lookup_Tables!$G$5:$G$9,0)),"UNMAPPED")</f>
        <v>Active</v>
      </c>
      <c r="M240" s="7" t="str">
        <f aca="false">IF(COUNTIF('Raw_Data (Before)'!$A$5:$A$424,A240)&gt;1,"YES","No")</f>
        <v>No</v>
      </c>
      <c r="N240" s="7" t="str">
        <f aca="false">IF(OR(C240="UNMAPPED",D240="UNMAPPED",F240="No",H240="No",J240="No",K240="No",L240="UNMAPPED",M240="YES"),"NEEDS REVIEW","OK")</f>
        <v>NEEDS REVIEW</v>
      </c>
    </row>
    <row r="241" customFormat="false" ht="15" hidden="false" customHeight="false" outlineLevel="0" collapsed="false">
      <c r="A241" s="7" t="str">
        <f aca="false">'Raw_Data (Before)'!A241</f>
        <v>EMP0213</v>
      </c>
      <c r="B241" s="7" t="str">
        <f aca="false">PROPER(TRIM('Raw_Data (Before)'!B241))</f>
        <v>Grace Ogundipe</v>
      </c>
      <c r="C241" s="7" t="str">
        <f aca="false">IFERROR(INDEX(Lookup_Tables!$B$5:$B$24,MATCH(UPPER(TRIM('Raw_Data (Before)'!C241)),Lookup_Tables!$A$5:$A$24,0)),"UNMAPPED")</f>
        <v>Finance</v>
      </c>
      <c r="D241" s="7" t="str">
        <f aca="false">IFERROR(INDEX(Lookup_Tables!$E$5:$E$8,MATCH(UPPER(TRIM('Raw_Data (Before)'!D241)),Lookup_Tables!$D$5:$D$8,0)),"UNMAPPED")</f>
        <v>Male</v>
      </c>
      <c r="E241" s="7" t="n">
        <f aca="false">'Raw_Data (Before)'!E241</f>
        <v>30</v>
      </c>
      <c r="F241" s="7" t="str">
        <f aca="false">IF(E241="","No",IF(OR(E241&lt;16,E241&gt;75),"No","Yes"))</f>
        <v>Yes</v>
      </c>
      <c r="G241" s="7" t="n">
        <f aca="false">IFERROR(VALUE(SUBSTITUTE(SUBSTITUTE('Raw_Data (Before)'!F241,"₦",""),",","")),"")</f>
        <v>266048</v>
      </c>
      <c r="H241" s="7" t="str">
        <f aca="false">IF(G241="","No",IF(OR(G241&lt;=0,G241&gt;5000000),"No","Yes"))</f>
        <v>Yes</v>
      </c>
      <c r="I241" s="8" t="n">
        <f aca="false">IFERROR(DATEVALUE('Raw_Data (Before)'!G241),"")</f>
        <v>44162</v>
      </c>
      <c r="J241" s="7" t="str">
        <f aca="false">IF(I241="","No","Yes")</f>
        <v>Yes</v>
      </c>
      <c r="K241" s="7" t="str">
        <f aca="false">IF(OR(ISERROR(FIND("@",'Raw_Data (Before)'!H241)),ISNUMBER(FIND("@@",'Raw_Data (Before)'!H241)),ISNUMBER(FIND(" ",'Raw_Data (Before)'!H241)),ISERROR(FIND(".",'Raw_Data (Before)'!H241,FIND("@",'Raw_Data (Before)'!H241)))),"No","Yes")</f>
        <v>Yes</v>
      </c>
      <c r="L241" s="7" t="str">
        <f aca="false">IFERROR(INDEX(Lookup_Tables!$H$5:$H$9,MATCH(UPPER(TRIM('Raw_Data (Before)'!I241)),Lookup_Tables!$G$5:$G$9,0)),"UNMAPPED")</f>
        <v>Active</v>
      </c>
      <c r="M241" s="7" t="str">
        <f aca="false">IF(COUNTIF('Raw_Data (Before)'!$A$5:$A$424,A241)&gt;1,"YES","No")</f>
        <v>No</v>
      </c>
      <c r="N241" s="7" t="str">
        <f aca="false">IF(OR(C241="UNMAPPED",D241="UNMAPPED",F241="No",H241="No",J241="No",K241="No",L241="UNMAPPED",M241="YES"),"NEEDS REVIEW","OK")</f>
        <v>OK</v>
      </c>
    </row>
    <row r="242" customFormat="false" ht="15" hidden="false" customHeight="false" outlineLevel="0" collapsed="false">
      <c r="A242" s="7" t="str">
        <f aca="false">'Raw_Data (Before)'!A242</f>
        <v>EMP0204</v>
      </c>
      <c r="B242" s="7" t="str">
        <f aca="false">PROPER(TRIM('Raw_Data (Before)'!B242))</f>
        <v>Bisi Umeh</v>
      </c>
      <c r="C242" s="7" t="str">
        <f aca="false">IFERROR(INDEX(Lookup_Tables!$B$5:$B$24,MATCH(UPPER(TRIM('Raw_Data (Before)'!C242)),Lookup_Tables!$A$5:$A$24,0)),"UNMAPPED")</f>
        <v>Marketing</v>
      </c>
      <c r="D242" s="7" t="str">
        <f aca="false">IFERROR(INDEX(Lookup_Tables!$E$5:$E$8,MATCH(UPPER(TRIM('Raw_Data (Before)'!D242)),Lookup_Tables!$D$5:$D$8,0)),"UNMAPPED")</f>
        <v>Female</v>
      </c>
      <c r="E242" s="7" t="n">
        <f aca="false">'Raw_Data (Before)'!E242</f>
        <v>34</v>
      </c>
      <c r="F242" s="7" t="str">
        <f aca="false">IF(E242="","No",IF(OR(E242&lt;16,E242&gt;75),"No","Yes"))</f>
        <v>Yes</v>
      </c>
      <c r="G242" s="7" t="n">
        <f aca="false">IFERROR(VALUE(SUBSTITUTE(SUBSTITUTE('Raw_Data (Before)'!F242,"₦",""),",","")),"")</f>
        <v>87583</v>
      </c>
      <c r="H242" s="7" t="str">
        <f aca="false">IF(G242="","No",IF(OR(G242&lt;=0,G242&gt;5000000),"No","Yes"))</f>
        <v>Yes</v>
      </c>
      <c r="I242" s="8" t="n">
        <f aca="false">IFERROR(DATEVALUE('Raw_Data (Before)'!G242),"")</f>
        <v>44062</v>
      </c>
      <c r="J242" s="7" t="str">
        <f aca="false">IF(I242="","No","Yes")</f>
        <v>Yes</v>
      </c>
      <c r="K242" s="7" t="str">
        <f aca="false">IF(OR(ISERROR(FIND("@",'Raw_Data (Before)'!H242)),ISNUMBER(FIND("@@",'Raw_Data (Before)'!H242)),ISNUMBER(FIND(" ",'Raw_Data (Before)'!H242)),ISERROR(FIND(".",'Raw_Data (Before)'!H242,FIND("@",'Raw_Data (Before)'!H242)))),"No","Yes")</f>
        <v>Yes</v>
      </c>
      <c r="L242" s="7" t="str">
        <f aca="false">IFERROR(INDEX(Lookup_Tables!$H$5:$H$9,MATCH(UPPER(TRIM('Raw_Data (Before)'!I242)),Lookup_Tables!$G$5:$G$9,0)),"UNMAPPED")</f>
        <v>Active</v>
      </c>
      <c r="M242" s="7" t="str">
        <f aca="false">IF(COUNTIF('Raw_Data (Before)'!$A$5:$A$424,A242)&gt;1,"YES","No")</f>
        <v>No</v>
      </c>
      <c r="N242" s="7" t="str">
        <f aca="false">IF(OR(C242="UNMAPPED",D242="UNMAPPED",F242="No",H242="No",J242="No",K242="No",L242="UNMAPPED",M242="YES"),"NEEDS REVIEW","OK")</f>
        <v>OK</v>
      </c>
    </row>
    <row r="243" customFormat="false" ht="15" hidden="false" customHeight="false" outlineLevel="0" collapsed="false">
      <c r="A243" s="7" t="str">
        <f aca="false">'Raw_Data (Before)'!A243</f>
        <v>EMP0066</v>
      </c>
      <c r="B243" s="7" t="str">
        <f aca="false">PROPER(TRIM('Raw_Data (Before)'!B243))</f>
        <v>Amaka Ogundipe</v>
      </c>
      <c r="C243" s="7" t="str">
        <f aca="false">IFERROR(INDEX(Lookup_Tables!$B$5:$B$24,MATCH(UPPER(TRIM('Raw_Data (Before)'!C243)),Lookup_Tables!$A$5:$A$24,0)),"UNMAPPED")</f>
        <v>Marketing</v>
      </c>
      <c r="D243" s="7" t="str">
        <f aca="false">IFERROR(INDEX(Lookup_Tables!$E$5:$E$8,MATCH(UPPER(TRIM('Raw_Data (Before)'!D243)),Lookup_Tables!$D$5:$D$8,0)),"UNMAPPED")</f>
        <v>Female</v>
      </c>
      <c r="E243" s="7" t="n">
        <f aca="false">'Raw_Data (Before)'!E243</f>
        <v>37</v>
      </c>
      <c r="F243" s="7" t="str">
        <f aca="false">IF(E243="","No",IF(OR(E243&lt;16,E243&gt;75),"No","Yes"))</f>
        <v>Yes</v>
      </c>
      <c r="G243" s="7" t="n">
        <f aca="false">IFERROR(VALUE(SUBSTITUTE(SUBSTITUTE('Raw_Data (Before)'!F243,"₦",""),",","")),"")</f>
        <v>120093</v>
      </c>
      <c r="H243" s="7" t="str">
        <f aca="false">IF(G243="","No",IF(OR(G243&lt;=0,G243&gt;5000000),"No","Yes"))</f>
        <v>Yes</v>
      </c>
      <c r="I243" s="8" t="n">
        <f aca="false">IFERROR(DATEVALUE('Raw_Data (Before)'!G243),"")</f>
        <v>43532</v>
      </c>
      <c r="J243" s="7" t="str">
        <f aca="false">IF(I243="","No","Yes")</f>
        <v>Yes</v>
      </c>
      <c r="K243" s="7" t="str">
        <f aca="false">IF(OR(ISERROR(FIND("@",'Raw_Data (Before)'!H243)),ISNUMBER(FIND("@@",'Raw_Data (Before)'!H243)),ISNUMBER(FIND(" ",'Raw_Data (Before)'!H243)),ISERROR(FIND(".",'Raw_Data (Before)'!H243,FIND("@",'Raw_Data (Before)'!H243)))),"No","Yes")</f>
        <v>Yes</v>
      </c>
      <c r="L243" s="7" t="str">
        <f aca="false">IFERROR(INDEX(Lookup_Tables!$H$5:$H$9,MATCH(UPPER(TRIM('Raw_Data (Before)'!I243)),Lookup_Tables!$G$5:$G$9,0)),"UNMAPPED")</f>
        <v>Active</v>
      </c>
      <c r="M243" s="7" t="str">
        <f aca="false">IF(COUNTIF('Raw_Data (Before)'!$A$5:$A$424,A243)&gt;1,"YES","No")</f>
        <v>No</v>
      </c>
      <c r="N243" s="7" t="str">
        <f aca="false">IF(OR(C243="UNMAPPED",D243="UNMAPPED",F243="No",H243="No",J243="No",K243="No",L243="UNMAPPED",M243="YES"),"NEEDS REVIEW","OK")</f>
        <v>OK</v>
      </c>
    </row>
    <row r="244" customFormat="false" ht="15" hidden="false" customHeight="false" outlineLevel="0" collapsed="false">
      <c r="A244" s="7" t="str">
        <f aca="false">'Raw_Data (Before)'!A244</f>
        <v>EMP0078</v>
      </c>
      <c r="B244" s="7" t="str">
        <f aca="false">PROPER(TRIM('Raw_Data (Before)'!B244))</f>
        <v>Ola Chukwu</v>
      </c>
      <c r="C244" s="7" t="str">
        <f aca="false">IFERROR(INDEX(Lookup_Tables!$B$5:$B$24,MATCH(UPPER(TRIM('Raw_Data (Before)'!C244)),Lookup_Tables!$A$5:$A$24,0)),"UNMAPPED")</f>
        <v>Sales</v>
      </c>
      <c r="D244" s="7" t="str">
        <f aca="false">IFERROR(INDEX(Lookup_Tables!$E$5:$E$8,MATCH(UPPER(TRIM('Raw_Data (Before)'!D244)),Lookup_Tables!$D$5:$D$8,0)),"UNMAPPED")</f>
        <v>Male</v>
      </c>
      <c r="E244" s="7" t="n">
        <f aca="false">'Raw_Data (Before)'!E244</f>
        <v>31</v>
      </c>
      <c r="F244" s="7" t="str">
        <f aca="false">IF(E244="","No",IF(OR(E244&lt;16,E244&gt;75),"No","Yes"))</f>
        <v>Yes</v>
      </c>
      <c r="G244" s="7" t="n">
        <f aca="false">IFERROR(VALUE(SUBSTITUTE(SUBSTITUTE('Raw_Data (Before)'!F244,"₦",""),",","")),"")</f>
        <v>910602</v>
      </c>
      <c r="H244" s="7" t="str">
        <f aca="false">IF(G244="","No",IF(OR(G244&lt;=0,G244&gt;5000000),"No","Yes"))</f>
        <v>Yes</v>
      </c>
      <c r="I244" s="8" t="n">
        <f aca="false">IFERROR(DATEVALUE('Raw_Data (Before)'!G244),"")</f>
        <v>45884</v>
      </c>
      <c r="J244" s="7" t="str">
        <f aca="false">IF(I244="","No","Yes")</f>
        <v>Yes</v>
      </c>
      <c r="K244" s="7" t="str">
        <f aca="false">IF(OR(ISERROR(FIND("@",'Raw_Data (Before)'!H244)),ISNUMBER(FIND("@@",'Raw_Data (Before)'!H244)),ISNUMBER(FIND(" ",'Raw_Data (Before)'!H244)),ISERROR(FIND(".",'Raw_Data (Before)'!H244,FIND("@",'Raw_Data (Before)'!H244)))),"No","Yes")</f>
        <v>Yes</v>
      </c>
      <c r="L244" s="7" t="str">
        <f aca="false">IFERROR(INDEX(Lookup_Tables!$H$5:$H$9,MATCH(UPPER(TRIM('Raw_Data (Before)'!I244)),Lookup_Tables!$G$5:$G$9,0)),"UNMAPPED")</f>
        <v>Active</v>
      </c>
      <c r="M244" s="7" t="str">
        <f aca="false">IF(COUNTIF('Raw_Data (Before)'!$A$5:$A$424,A244)&gt;1,"YES","No")</f>
        <v>No</v>
      </c>
      <c r="N244" s="7" t="str">
        <f aca="false">IF(OR(C244="UNMAPPED",D244="UNMAPPED",F244="No",H244="No",J244="No",K244="No",L244="UNMAPPED",M244="YES"),"NEEDS REVIEW","OK")</f>
        <v>OK</v>
      </c>
    </row>
    <row r="245" customFormat="false" ht="15" hidden="false" customHeight="false" outlineLevel="0" collapsed="false">
      <c r="A245" s="7" t="str">
        <f aca="false">'Raw_Data (Before)'!A245</f>
        <v>EMP0205</v>
      </c>
      <c r="B245" s="7" t="str">
        <f aca="false">PROPER(TRIM('Raw_Data (Before)'!B245))</f>
        <v>Comfort Abubakar</v>
      </c>
      <c r="C245" s="7" t="str">
        <f aca="false">IFERROR(INDEX(Lookup_Tables!$B$5:$B$24,MATCH(UPPER(TRIM('Raw_Data (Before)'!C245)),Lookup_Tables!$A$5:$A$24,0)),"UNMAPPED")</f>
        <v>IT</v>
      </c>
      <c r="D245" s="7" t="str">
        <f aca="false">IFERROR(INDEX(Lookup_Tables!$E$5:$E$8,MATCH(UPPER(TRIM('Raw_Data (Before)'!D245)),Lookup_Tables!$D$5:$D$8,0)),"UNMAPPED")</f>
        <v>Male</v>
      </c>
      <c r="E245" s="7" t="n">
        <f aca="false">'Raw_Data (Before)'!E245</f>
        <v>56</v>
      </c>
      <c r="F245" s="7" t="str">
        <f aca="false">IF(E245="","No",IF(OR(E245&lt;16,E245&gt;75),"No","Yes"))</f>
        <v>Yes</v>
      </c>
      <c r="G245" s="7" t="n">
        <f aca="false">IFERROR(VALUE(SUBSTITUTE(SUBSTITUTE('Raw_Data (Before)'!F245,"₦",""),",","")),"")</f>
        <v>770864</v>
      </c>
      <c r="H245" s="7" t="str">
        <f aca="false">IF(G245="","No",IF(OR(G245&lt;=0,G245&gt;5000000),"No","Yes"))</f>
        <v>Yes</v>
      </c>
      <c r="I245" s="8" t="n">
        <f aca="false">IFERROR(DATEVALUE('Raw_Data (Before)'!G245),"")</f>
        <v>44364</v>
      </c>
      <c r="J245" s="7" t="str">
        <f aca="false">IF(I245="","No","Yes")</f>
        <v>Yes</v>
      </c>
      <c r="K245" s="7" t="str">
        <f aca="false">IF(OR(ISERROR(FIND("@",'Raw_Data (Before)'!H245)),ISNUMBER(FIND("@@",'Raw_Data (Before)'!H245)),ISNUMBER(FIND(" ",'Raw_Data (Before)'!H245)),ISERROR(FIND(".",'Raw_Data (Before)'!H245,FIND("@",'Raw_Data (Before)'!H245)))),"No","Yes")</f>
        <v>Yes</v>
      </c>
      <c r="L245" s="7" t="str">
        <f aca="false">IFERROR(INDEX(Lookup_Tables!$H$5:$H$9,MATCH(UPPER(TRIM('Raw_Data (Before)'!I245)),Lookup_Tables!$G$5:$G$9,0)),"UNMAPPED")</f>
        <v>Active</v>
      </c>
      <c r="M245" s="7" t="str">
        <f aca="false">IF(COUNTIF('Raw_Data (Before)'!$A$5:$A$424,A245)&gt;1,"YES","No")</f>
        <v>No</v>
      </c>
      <c r="N245" s="7" t="str">
        <f aca="false">IF(OR(C245="UNMAPPED",D245="UNMAPPED",F245="No",H245="No",J245="No",K245="No",L245="UNMAPPED",M245="YES"),"NEEDS REVIEW","OK")</f>
        <v>OK</v>
      </c>
    </row>
    <row r="246" customFormat="false" ht="15" hidden="false" customHeight="false" outlineLevel="0" collapsed="false">
      <c r="A246" s="7" t="str">
        <f aca="false">'Raw_Data (Before)'!A246</f>
        <v>EMP0224</v>
      </c>
      <c r="B246" s="7" t="str">
        <f aca="false">PROPER(TRIM('Raw_Data (Before)'!B246))</f>
        <v>Emeka Adeyemi</v>
      </c>
      <c r="C246" s="7" t="str">
        <f aca="false">IFERROR(INDEX(Lookup_Tables!$B$5:$B$24,MATCH(UPPER(TRIM('Raw_Data (Before)'!C246)),Lookup_Tables!$A$5:$A$24,0)),"UNMAPPED")</f>
        <v>HR</v>
      </c>
      <c r="D246" s="7" t="str">
        <f aca="false">IFERROR(INDEX(Lookup_Tables!$E$5:$E$8,MATCH(UPPER(TRIM('Raw_Data (Before)'!D246)),Lookup_Tables!$D$5:$D$8,0)),"UNMAPPED")</f>
        <v>Female</v>
      </c>
      <c r="E246" s="7" t="n">
        <f aca="false">'Raw_Data (Before)'!E246</f>
        <v>999</v>
      </c>
      <c r="F246" s="7" t="str">
        <f aca="false">IF(E246="","No",IF(OR(E246&lt;16,E246&gt;75),"No","Yes"))</f>
        <v>No</v>
      </c>
      <c r="G246" s="7" t="n">
        <f aca="false">IFERROR(VALUE(SUBSTITUTE(SUBSTITUTE('Raw_Data (Before)'!F246,"₦",""),",","")),"")</f>
        <v>614909</v>
      </c>
      <c r="H246" s="7" t="str">
        <f aca="false">IF(G246="","No",IF(OR(G246&lt;=0,G246&gt;5000000),"No","Yes"))</f>
        <v>Yes</v>
      </c>
      <c r="I246" s="8" t="n">
        <f aca="false">IFERROR(DATEVALUE('Raw_Data (Before)'!G246),"")</f>
        <v>44966</v>
      </c>
      <c r="J246" s="7" t="str">
        <f aca="false">IF(I246="","No","Yes")</f>
        <v>Yes</v>
      </c>
      <c r="K246" s="7" t="str">
        <f aca="false">IF(OR(ISERROR(FIND("@",'Raw_Data (Before)'!H246)),ISNUMBER(FIND("@@",'Raw_Data (Before)'!H246)),ISNUMBER(FIND(" ",'Raw_Data (Before)'!H246)),ISERROR(FIND(".",'Raw_Data (Before)'!H246,FIND("@",'Raw_Data (Before)'!H246)))),"No","Yes")</f>
        <v>Yes</v>
      </c>
      <c r="L246" s="7" t="str">
        <f aca="false">IFERROR(INDEX(Lookup_Tables!$H$5:$H$9,MATCH(UPPER(TRIM('Raw_Data (Before)'!I246)),Lookup_Tables!$G$5:$G$9,0)),"UNMAPPED")</f>
        <v>Active</v>
      </c>
      <c r="M246" s="7" t="str">
        <f aca="false">IF(COUNTIF('Raw_Data (Before)'!$A$5:$A$424,A246)&gt;1,"YES","No")</f>
        <v>No</v>
      </c>
      <c r="N246" s="7" t="str">
        <f aca="false">IF(OR(C246="UNMAPPED",D246="UNMAPPED",F246="No",H246="No",J246="No",K246="No",L246="UNMAPPED",M246="YES"),"NEEDS REVIEW","OK")</f>
        <v>NEEDS REVIEW</v>
      </c>
    </row>
    <row r="247" customFormat="false" ht="15" hidden="false" customHeight="false" outlineLevel="0" collapsed="false">
      <c r="A247" s="7" t="str">
        <f aca="false">'Raw_Data (Before)'!A247</f>
        <v>EMP0001</v>
      </c>
      <c r="B247" s="7" t="str">
        <f aca="false">PROPER(TRIM('Raw_Data (Before)'!B247))</f>
        <v>Ola Bello</v>
      </c>
      <c r="C247" s="7" t="str">
        <f aca="false">IFERROR(INDEX(Lookup_Tables!$B$5:$B$24,MATCH(UPPER(TRIM('Raw_Data (Before)'!C247)),Lookup_Tables!$A$5:$A$24,0)),"UNMAPPED")</f>
        <v>HR</v>
      </c>
      <c r="D247" s="7" t="str">
        <f aca="false">IFERROR(INDEX(Lookup_Tables!$E$5:$E$8,MATCH(UPPER(TRIM('Raw_Data (Before)'!D247)),Lookup_Tables!$D$5:$D$8,0)),"UNMAPPED")</f>
        <v>Male</v>
      </c>
      <c r="E247" s="7" t="n">
        <f aca="false">'Raw_Data (Before)'!E247</f>
        <v>0</v>
      </c>
      <c r="F247" s="7" t="str">
        <f aca="false">IF(E247="","No",IF(OR(E247&lt;16,E247&gt;75),"No","Yes"))</f>
        <v>No</v>
      </c>
      <c r="G247" s="7" t="n">
        <f aca="false">IFERROR(VALUE(SUBSTITUTE(SUBSTITUTE('Raw_Data (Before)'!F247,"₦",""),",","")),"")</f>
        <v>534710</v>
      </c>
      <c r="H247" s="7" t="str">
        <f aca="false">IF(G247="","No",IF(OR(G247&lt;=0,G247&gt;5000000),"No","Yes"))</f>
        <v>Yes</v>
      </c>
      <c r="I247" s="8" t="n">
        <f aca="false">IFERROR(DATEVALUE('Raw_Data (Before)'!G247),"")</f>
        <v>45208</v>
      </c>
      <c r="J247" s="7" t="str">
        <f aca="false">IF(I247="","No","Yes")</f>
        <v>Yes</v>
      </c>
      <c r="K247" s="7" t="str">
        <f aca="false">IF(OR(ISERROR(FIND("@",'Raw_Data (Before)'!H247)),ISNUMBER(FIND("@@",'Raw_Data (Before)'!H247)),ISNUMBER(FIND(" ",'Raw_Data (Before)'!H247)),ISERROR(FIND(".",'Raw_Data (Before)'!H247,FIND("@",'Raw_Data (Before)'!H247)))),"No","Yes")</f>
        <v>Yes</v>
      </c>
      <c r="L247" s="7" t="str">
        <f aca="false">IFERROR(INDEX(Lookup_Tables!$H$5:$H$9,MATCH(UPPER(TRIM('Raw_Data (Before)'!I247)),Lookup_Tables!$G$5:$G$9,0)),"UNMAPPED")</f>
        <v>Active</v>
      </c>
      <c r="M247" s="7" t="str">
        <f aca="false">IF(COUNTIF('Raw_Data (Before)'!$A$5:$A$424,A247)&gt;1,"YES","No")</f>
        <v>No</v>
      </c>
      <c r="N247" s="7" t="str">
        <f aca="false">IF(OR(C247="UNMAPPED",D247="UNMAPPED",F247="No",H247="No",J247="No",K247="No",L247="UNMAPPED",M247="YES"),"NEEDS REVIEW","OK")</f>
        <v>NEEDS REVIEW</v>
      </c>
    </row>
    <row r="248" customFormat="false" ht="15" hidden="false" customHeight="false" outlineLevel="0" collapsed="false">
      <c r="A248" s="7" t="str">
        <f aca="false">'Raw_Data (Before)'!A248</f>
        <v>EMP0207</v>
      </c>
      <c r="B248" s="7" t="str">
        <f aca="false">PROPER(TRIM('Raw_Data (Before)'!B248))</f>
        <v>Joy Ajayi</v>
      </c>
      <c r="C248" s="7" t="str">
        <f aca="false">IFERROR(INDEX(Lookup_Tables!$B$5:$B$24,MATCH(UPPER(TRIM('Raw_Data (Before)'!C248)),Lookup_Tables!$A$5:$A$24,0)),"UNMAPPED")</f>
        <v>Marketing</v>
      </c>
      <c r="D248" s="7" t="str">
        <f aca="false">IFERROR(INDEX(Lookup_Tables!$E$5:$E$8,MATCH(UPPER(TRIM('Raw_Data (Before)'!D248)),Lookup_Tables!$D$5:$D$8,0)),"UNMAPPED")</f>
        <v>Male</v>
      </c>
      <c r="E248" s="7" t="n">
        <f aca="false">'Raw_Data (Before)'!E248</f>
        <v>27</v>
      </c>
      <c r="F248" s="7" t="str">
        <f aca="false">IF(E248="","No",IF(OR(E248&lt;16,E248&gt;75),"No","Yes"))</f>
        <v>Yes</v>
      </c>
      <c r="G248" s="7" t="n">
        <f aca="false">IFERROR(VALUE(SUBSTITUTE(SUBSTITUTE('Raw_Data (Before)'!F248,"₦",""),",","")),"")</f>
        <v>286266</v>
      </c>
      <c r="H248" s="7" t="str">
        <f aca="false">IF(G248="","No",IF(OR(G248&lt;=0,G248&gt;5000000),"No","Yes"))</f>
        <v>Yes</v>
      </c>
      <c r="I248" s="8" t="n">
        <f aca="false">IFERROR(DATEVALUE('Raw_Data (Before)'!G248),"")</f>
        <v>45570</v>
      </c>
      <c r="J248" s="7" t="str">
        <f aca="false">IF(I248="","No","Yes")</f>
        <v>Yes</v>
      </c>
      <c r="K248" s="7" t="str">
        <f aca="false">IF(OR(ISERROR(FIND("@",'Raw_Data (Before)'!H248)),ISNUMBER(FIND("@@",'Raw_Data (Before)'!H248)),ISNUMBER(FIND(" ",'Raw_Data (Before)'!H248)),ISERROR(FIND(".",'Raw_Data (Before)'!H248,FIND("@",'Raw_Data (Before)'!H248)))),"No","Yes")</f>
        <v>No</v>
      </c>
      <c r="L248" s="7" t="str">
        <f aca="false">IFERROR(INDEX(Lookup_Tables!$H$5:$H$9,MATCH(UPPER(TRIM('Raw_Data (Before)'!I248)),Lookup_Tables!$G$5:$G$9,0)),"UNMAPPED")</f>
        <v>Active</v>
      </c>
      <c r="M248" s="7" t="str">
        <f aca="false">IF(COUNTIF('Raw_Data (Before)'!$A$5:$A$424,A248)&gt;1,"YES","No")</f>
        <v>No</v>
      </c>
      <c r="N248" s="7" t="str">
        <f aca="false">IF(OR(C248="UNMAPPED",D248="UNMAPPED",F248="No",H248="No",J248="No",K248="No",L248="UNMAPPED",M248="YES"),"NEEDS REVIEW","OK")</f>
        <v>NEEDS REVIEW</v>
      </c>
    </row>
    <row r="249" customFormat="false" ht="15" hidden="false" customHeight="false" outlineLevel="0" collapsed="false">
      <c r="A249" s="7" t="str">
        <f aca="false">'Raw_Data (Before)'!A249</f>
        <v>EMP0285</v>
      </c>
      <c r="B249" s="7" t="str">
        <f aca="false">PROPER(TRIM('Raw_Data (Before)'!B249))</f>
        <v>Patience Yakubu</v>
      </c>
      <c r="C249" s="7" t="str">
        <f aca="false">IFERROR(INDEX(Lookup_Tables!$B$5:$B$24,MATCH(UPPER(TRIM('Raw_Data (Before)'!C249)),Lookup_Tables!$A$5:$A$24,0)),"UNMAPPED")</f>
        <v>IT</v>
      </c>
      <c r="D249" s="7" t="str">
        <f aca="false">IFERROR(INDEX(Lookup_Tables!$E$5:$E$8,MATCH(UPPER(TRIM('Raw_Data (Before)'!D249)),Lookup_Tables!$D$5:$D$8,0)),"UNMAPPED")</f>
        <v>Male</v>
      </c>
      <c r="E249" s="7" t="n">
        <f aca="false">'Raw_Data (Before)'!E249</f>
        <v>5</v>
      </c>
      <c r="F249" s="7" t="str">
        <f aca="false">IF(E249="","No",IF(OR(E249&lt;16,E249&gt;75),"No","Yes"))</f>
        <v>No</v>
      </c>
      <c r="G249" s="7" t="n">
        <f aca="false">IFERROR(VALUE(SUBSTITUTE(SUBSTITUTE('Raw_Data (Before)'!F249,"₦",""),",","")),"")</f>
        <v>744690</v>
      </c>
      <c r="H249" s="7" t="str">
        <f aca="false">IF(G249="","No",IF(OR(G249&lt;=0,G249&gt;5000000),"No","Yes"))</f>
        <v>Yes</v>
      </c>
      <c r="I249" s="8" t="n">
        <f aca="false">IFERROR(DATEVALUE('Raw_Data (Before)'!G249),"")</f>
        <v>43930</v>
      </c>
      <c r="J249" s="7" t="str">
        <f aca="false">IF(I249="","No","Yes")</f>
        <v>Yes</v>
      </c>
      <c r="K249" s="7" t="str">
        <f aca="false">IF(OR(ISERROR(FIND("@",'Raw_Data (Before)'!H249)),ISNUMBER(FIND("@@",'Raw_Data (Before)'!H249)),ISNUMBER(FIND(" ",'Raw_Data (Before)'!H249)),ISERROR(FIND(".",'Raw_Data (Before)'!H249,FIND("@",'Raw_Data (Before)'!H249)))),"No","Yes")</f>
        <v>Yes</v>
      </c>
      <c r="L249" s="7" t="str">
        <f aca="false">IFERROR(INDEX(Lookup_Tables!$H$5:$H$9,MATCH(UPPER(TRIM('Raw_Data (Before)'!I249)),Lookup_Tables!$G$5:$G$9,0)),"UNMAPPED")</f>
        <v>Active</v>
      </c>
      <c r="M249" s="7" t="str">
        <f aca="false">IF(COUNTIF('Raw_Data (Before)'!$A$5:$A$424,A249)&gt;1,"YES","No")</f>
        <v>No</v>
      </c>
      <c r="N249" s="7" t="str">
        <f aca="false">IF(OR(C249="UNMAPPED",D249="UNMAPPED",F249="No",H249="No",J249="No",K249="No",L249="UNMAPPED",M249="YES"),"NEEDS REVIEW","OK")</f>
        <v>NEEDS REVIEW</v>
      </c>
    </row>
    <row r="250" customFormat="false" ht="15" hidden="false" customHeight="false" outlineLevel="0" collapsed="false">
      <c r="A250" s="7" t="str">
        <f aca="false">'Raw_Data (Before)'!A250</f>
        <v>EMP0269</v>
      </c>
      <c r="B250" s="7" t="str">
        <f aca="false">PROPER(TRIM('Raw_Data (Before)'!B250))</f>
        <v>Mary Ogundipe</v>
      </c>
      <c r="C250" s="7" t="str">
        <f aca="false">IFERROR(INDEX(Lookup_Tables!$B$5:$B$24,MATCH(UPPER(TRIM('Raw_Data (Before)'!C250)),Lookup_Tables!$A$5:$A$24,0)),"UNMAPPED")</f>
        <v>Operations</v>
      </c>
      <c r="D250" s="7" t="str">
        <f aca="false">IFERROR(INDEX(Lookup_Tables!$E$5:$E$8,MATCH(UPPER(TRIM('Raw_Data (Before)'!D250)),Lookup_Tables!$D$5:$D$8,0)),"UNMAPPED")</f>
        <v>Male</v>
      </c>
      <c r="E250" s="7" t="n">
        <f aca="false">'Raw_Data (Before)'!E250</f>
        <v>28</v>
      </c>
      <c r="F250" s="7" t="str">
        <f aca="false">IF(E250="","No",IF(OR(E250&lt;16,E250&gt;75),"No","Yes"))</f>
        <v>Yes</v>
      </c>
      <c r="G250" s="7" t="n">
        <f aca="false">IFERROR(VALUE(SUBSTITUTE(SUBSTITUTE('Raw_Data (Before)'!F250,"₦",""),",","")),"")</f>
        <v>401857</v>
      </c>
      <c r="H250" s="7" t="str">
        <f aca="false">IF(G250="","No",IF(OR(G250&lt;=0,G250&gt;5000000),"No","Yes"))</f>
        <v>Yes</v>
      </c>
      <c r="I250" s="8" t="n">
        <f aca="false">IFERROR(DATEVALUE('Raw_Data (Before)'!G250),"")</f>
        <v>45569</v>
      </c>
      <c r="J250" s="7" t="str">
        <f aca="false">IF(I250="","No","Yes")</f>
        <v>Yes</v>
      </c>
      <c r="K250" s="7" t="str">
        <f aca="false">IF(OR(ISERROR(FIND("@",'Raw_Data (Before)'!H250)),ISNUMBER(FIND("@@",'Raw_Data (Before)'!H250)),ISNUMBER(FIND(" ",'Raw_Data (Before)'!H250)),ISERROR(FIND(".",'Raw_Data (Before)'!H250,FIND("@",'Raw_Data (Before)'!H250)))),"No","Yes")</f>
        <v>Yes</v>
      </c>
      <c r="L250" s="7" t="str">
        <f aca="false">IFERROR(INDEX(Lookup_Tables!$H$5:$H$9,MATCH(UPPER(TRIM('Raw_Data (Before)'!I250)),Lookup_Tables!$G$5:$G$9,0)),"UNMAPPED")</f>
        <v>Inactive</v>
      </c>
      <c r="M250" s="7" t="str">
        <f aca="false">IF(COUNTIF('Raw_Data (Before)'!$A$5:$A$424,A250)&gt;1,"YES","No")</f>
        <v>No</v>
      </c>
      <c r="N250" s="7" t="str">
        <f aca="false">IF(OR(C250="UNMAPPED",D250="UNMAPPED",F250="No",H250="No",J250="No",K250="No",L250="UNMAPPED",M250="YES"),"NEEDS REVIEW","OK")</f>
        <v>OK</v>
      </c>
    </row>
    <row r="251" customFormat="false" ht="15" hidden="false" customHeight="false" outlineLevel="0" collapsed="false">
      <c r="A251" s="7" t="str">
        <f aca="false">'Raw_Data (Before)'!A251</f>
        <v>EMP0056</v>
      </c>
      <c r="B251" s="7" t="str">
        <f aca="false">PROPER(TRIM('Raw_Data (Before)'!B251))</f>
        <v>Musa Obi</v>
      </c>
      <c r="C251" s="7" t="str">
        <f aca="false">IFERROR(INDEX(Lookup_Tables!$B$5:$B$24,MATCH(UPPER(TRIM('Raw_Data (Before)'!C251)),Lookup_Tables!$A$5:$A$24,0)),"UNMAPPED")</f>
        <v>Marketing</v>
      </c>
      <c r="D251" s="7" t="str">
        <f aca="false">IFERROR(INDEX(Lookup_Tables!$E$5:$E$8,MATCH(UPPER(TRIM('Raw_Data (Before)'!D251)),Lookup_Tables!$D$5:$D$8,0)),"UNMAPPED")</f>
        <v>Female</v>
      </c>
      <c r="E251" s="7" t="n">
        <f aca="false">'Raw_Data (Before)'!E251</f>
        <v>27</v>
      </c>
      <c r="F251" s="7" t="str">
        <f aca="false">IF(E251="","No",IF(OR(E251&lt;16,E251&gt;75),"No","Yes"))</f>
        <v>Yes</v>
      </c>
      <c r="G251" s="7" t="n">
        <f aca="false">IFERROR(VALUE(SUBSTITUTE(SUBSTITUTE('Raw_Data (Before)'!F251,"₦",""),",","")),"")</f>
        <v>-83010</v>
      </c>
      <c r="H251" s="7" t="str">
        <f aca="false">IF(G251="","No",IF(OR(G251&lt;=0,G251&gt;5000000),"No","Yes"))</f>
        <v>No</v>
      </c>
      <c r="I251" s="8" t="n">
        <f aca="false">IFERROR(DATEVALUE('Raw_Data (Before)'!G251),"")</f>
        <v>44632</v>
      </c>
      <c r="J251" s="7" t="str">
        <f aca="false">IF(I251="","No","Yes")</f>
        <v>Yes</v>
      </c>
      <c r="K251" s="7" t="str">
        <f aca="false">IF(OR(ISERROR(FIND("@",'Raw_Data (Before)'!H251)),ISNUMBER(FIND("@@",'Raw_Data (Before)'!H251)),ISNUMBER(FIND(" ",'Raw_Data (Before)'!H251)),ISERROR(FIND(".",'Raw_Data (Before)'!H251,FIND("@",'Raw_Data (Before)'!H251)))),"No","Yes")</f>
        <v>Yes</v>
      </c>
      <c r="L251" s="7" t="str">
        <f aca="false">IFERROR(INDEX(Lookup_Tables!$H$5:$H$9,MATCH(UPPER(TRIM('Raw_Data (Before)'!I251)),Lookup_Tables!$G$5:$G$9,0)),"UNMAPPED")</f>
        <v>Active</v>
      </c>
      <c r="M251" s="7" t="str">
        <f aca="false">IF(COUNTIF('Raw_Data (Before)'!$A$5:$A$424,A251)&gt;1,"YES","No")</f>
        <v>No</v>
      </c>
      <c r="N251" s="7" t="str">
        <f aca="false">IF(OR(C251="UNMAPPED",D251="UNMAPPED",F251="No",H251="No",J251="No",K251="No",L251="UNMAPPED",M251="YES"),"NEEDS REVIEW","OK")</f>
        <v>NEEDS REVIEW</v>
      </c>
    </row>
    <row r="252" customFormat="false" ht="15" hidden="false" customHeight="false" outlineLevel="0" collapsed="false">
      <c r="A252" s="7" t="str">
        <f aca="false">'Raw_Data (Before)'!A252</f>
        <v>EMP0216</v>
      </c>
      <c r="B252" s="7" t="str">
        <f aca="false">PROPER(TRIM('Raw_Data (Before)'!B252))</f>
        <v>Joy Eze</v>
      </c>
      <c r="C252" s="7" t="str">
        <f aca="false">IFERROR(INDEX(Lookup_Tables!$B$5:$B$24,MATCH(UPPER(TRIM('Raw_Data (Before)'!C252)),Lookup_Tables!$A$5:$A$24,0)),"UNMAPPED")</f>
        <v>HR</v>
      </c>
      <c r="D252" s="7" t="str">
        <f aca="false">IFERROR(INDEX(Lookup_Tables!$E$5:$E$8,MATCH(UPPER(TRIM('Raw_Data (Before)'!D252)),Lookup_Tables!$D$5:$D$8,0)),"UNMAPPED")</f>
        <v>Male</v>
      </c>
      <c r="E252" s="7" t="n">
        <f aca="false">'Raw_Data (Before)'!E252</f>
        <v>42</v>
      </c>
      <c r="F252" s="7" t="str">
        <f aca="false">IF(E252="","No",IF(OR(E252&lt;16,E252&gt;75),"No","Yes"))</f>
        <v>Yes</v>
      </c>
      <c r="G252" s="7" t="n">
        <f aca="false">IFERROR(VALUE(SUBSTITUTE(SUBSTITUTE('Raw_Data (Before)'!F252,"₦",""),",","")),"")</f>
        <v>84123</v>
      </c>
      <c r="H252" s="7" t="str">
        <f aca="false">IF(G252="","No",IF(OR(G252&lt;=0,G252&gt;5000000),"No","Yes"))</f>
        <v>Yes</v>
      </c>
      <c r="I252" s="8" t="n">
        <f aca="false">IFERROR(DATEVALUE('Raw_Data (Before)'!G252),"")</f>
        <v>43660</v>
      </c>
      <c r="J252" s="7" t="str">
        <f aca="false">IF(I252="","No","Yes")</f>
        <v>Yes</v>
      </c>
      <c r="K252" s="7" t="str">
        <f aca="false">IF(OR(ISERROR(FIND("@",'Raw_Data (Before)'!H252)),ISNUMBER(FIND("@@",'Raw_Data (Before)'!H252)),ISNUMBER(FIND(" ",'Raw_Data (Before)'!H252)),ISERROR(FIND(".",'Raw_Data (Before)'!H252,FIND("@",'Raw_Data (Before)'!H252)))),"No","Yes")</f>
        <v>Yes</v>
      </c>
      <c r="L252" s="7" t="str">
        <f aca="false">IFERROR(INDEX(Lookup_Tables!$H$5:$H$9,MATCH(UPPER(TRIM('Raw_Data (Before)'!I252)),Lookup_Tables!$G$5:$G$9,0)),"UNMAPPED")</f>
        <v>Inactive</v>
      </c>
      <c r="M252" s="7" t="str">
        <f aca="false">IF(COUNTIF('Raw_Data (Before)'!$A$5:$A$424,A252)&gt;1,"YES","No")</f>
        <v>No</v>
      </c>
      <c r="N252" s="7" t="str">
        <f aca="false">IF(OR(C252="UNMAPPED",D252="UNMAPPED",F252="No",H252="No",J252="No",K252="No",L252="UNMAPPED",M252="YES"),"NEEDS REVIEW","OK")</f>
        <v>OK</v>
      </c>
    </row>
    <row r="253" customFormat="false" ht="15" hidden="false" customHeight="false" outlineLevel="0" collapsed="false">
      <c r="A253" s="7" t="str">
        <f aca="false">'Raw_Data (Before)'!A253</f>
        <v>EMP0389</v>
      </c>
      <c r="B253" s="7" t="str">
        <f aca="false">PROPER(TRIM('Raw_Data (Before)'!B253))</f>
        <v>Hauwa Duru</v>
      </c>
      <c r="C253" s="7" t="str">
        <f aca="false">IFERROR(INDEX(Lookup_Tables!$B$5:$B$24,MATCH(UPPER(TRIM('Raw_Data (Before)'!C253)),Lookup_Tables!$A$5:$A$24,0)),"UNMAPPED")</f>
        <v>HR</v>
      </c>
      <c r="D253" s="7" t="str">
        <f aca="false">IFERROR(INDEX(Lookup_Tables!$E$5:$E$8,MATCH(UPPER(TRIM('Raw_Data (Before)'!D253)),Lookup_Tables!$D$5:$D$8,0)),"UNMAPPED")</f>
        <v>Male</v>
      </c>
      <c r="E253" s="7" t="n">
        <f aca="false">'Raw_Data (Before)'!E253</f>
        <v>44</v>
      </c>
      <c r="F253" s="7" t="str">
        <f aca="false">IF(E253="","No",IF(OR(E253&lt;16,E253&gt;75),"No","Yes"))</f>
        <v>Yes</v>
      </c>
      <c r="G253" s="7" t="n">
        <f aca="false">IFERROR(VALUE(SUBSTITUTE(SUBSTITUTE('Raw_Data (Before)'!F253,"₦",""),",","")),"")</f>
        <v>622526</v>
      </c>
      <c r="H253" s="7" t="str">
        <f aca="false">IF(G253="","No",IF(OR(G253&lt;=0,G253&gt;5000000),"No","Yes"))</f>
        <v>Yes</v>
      </c>
      <c r="I253" s="8" t="n">
        <f aca="false">IFERROR(DATEVALUE('Raw_Data (Before)'!G253),"")</f>
        <v>43588</v>
      </c>
      <c r="J253" s="7" t="str">
        <f aca="false">IF(I253="","No","Yes")</f>
        <v>Yes</v>
      </c>
      <c r="K253" s="7" t="str">
        <f aca="false">IF(OR(ISERROR(FIND("@",'Raw_Data (Before)'!H253)),ISNUMBER(FIND("@@",'Raw_Data (Before)'!H253)),ISNUMBER(FIND(" ",'Raw_Data (Before)'!H253)),ISERROR(FIND(".",'Raw_Data (Before)'!H253,FIND("@",'Raw_Data (Before)'!H253)))),"No","Yes")</f>
        <v>Yes</v>
      </c>
      <c r="L253" s="7" t="str">
        <f aca="false">IFERROR(INDEX(Lookup_Tables!$H$5:$H$9,MATCH(UPPER(TRIM('Raw_Data (Before)'!I253)),Lookup_Tables!$G$5:$G$9,0)),"UNMAPPED")</f>
        <v>Active</v>
      </c>
      <c r="M253" s="7" t="str">
        <f aca="false">IF(COUNTIF('Raw_Data (Before)'!$A$5:$A$424,A253)&gt;1,"YES","No")</f>
        <v>No</v>
      </c>
      <c r="N253" s="7" t="str">
        <f aca="false">IF(OR(C253="UNMAPPED",D253="UNMAPPED",F253="No",H253="No",J253="No",K253="No",L253="UNMAPPED",M253="YES"),"NEEDS REVIEW","OK")</f>
        <v>OK</v>
      </c>
    </row>
    <row r="254" customFormat="false" ht="15" hidden="false" customHeight="false" outlineLevel="0" collapsed="false">
      <c r="A254" s="7" t="str">
        <f aca="false">'Raw_Data (Before)'!A254</f>
        <v>EMP0152</v>
      </c>
      <c r="B254" s="7" t="str">
        <f aca="false">PROPER(TRIM('Raw_Data (Before)'!B254))</f>
        <v>Chiamaka Eze</v>
      </c>
      <c r="C254" s="7" t="str">
        <f aca="false">IFERROR(INDEX(Lookup_Tables!$B$5:$B$24,MATCH(UPPER(TRIM('Raw_Data (Before)'!C254)),Lookup_Tables!$A$5:$A$24,0)),"UNMAPPED")</f>
        <v>Customer Service</v>
      </c>
      <c r="D254" s="7" t="str">
        <f aca="false">IFERROR(INDEX(Lookup_Tables!$E$5:$E$8,MATCH(UPPER(TRIM('Raw_Data (Before)'!D254)),Lookup_Tables!$D$5:$D$8,0)),"UNMAPPED")</f>
        <v>Male</v>
      </c>
      <c r="E254" s="7" t="n">
        <f aca="false">'Raw_Data (Before)'!E254</f>
        <v>51</v>
      </c>
      <c r="F254" s="7" t="str">
        <f aca="false">IF(E254="","No",IF(OR(E254&lt;16,E254&gt;75),"No","Yes"))</f>
        <v>Yes</v>
      </c>
      <c r="G254" s="7" t="n">
        <f aca="false">IFERROR(VALUE(SUBSTITUTE(SUBSTITUTE('Raw_Data (Before)'!F254,"₦",""),",","")),"")</f>
        <v>571746</v>
      </c>
      <c r="H254" s="7" t="str">
        <f aca="false">IF(G254="","No",IF(OR(G254&lt;=0,G254&gt;5000000),"No","Yes"))</f>
        <v>Yes</v>
      </c>
      <c r="I254" s="8" t="n">
        <f aca="false">IFERROR(DATEVALUE('Raw_Data (Before)'!G254),"")</f>
        <v>44988</v>
      </c>
      <c r="J254" s="7" t="str">
        <f aca="false">IF(I254="","No","Yes")</f>
        <v>Yes</v>
      </c>
      <c r="K254" s="7" t="str">
        <f aca="false">IF(OR(ISERROR(FIND("@",'Raw_Data (Before)'!H254)),ISNUMBER(FIND("@@",'Raw_Data (Before)'!H254)),ISNUMBER(FIND(" ",'Raw_Data (Before)'!H254)),ISERROR(FIND(".",'Raw_Data (Before)'!H254,FIND("@",'Raw_Data (Before)'!H254)))),"No","Yes")</f>
        <v>No</v>
      </c>
      <c r="L254" s="7" t="str">
        <f aca="false">IFERROR(INDEX(Lookup_Tables!$H$5:$H$9,MATCH(UPPER(TRIM('Raw_Data (Before)'!I254)),Lookup_Tables!$G$5:$G$9,0)),"UNMAPPED")</f>
        <v>Active</v>
      </c>
      <c r="M254" s="7" t="str">
        <f aca="false">IF(COUNTIF('Raw_Data (Before)'!$A$5:$A$424,A254)&gt;1,"YES","No")</f>
        <v>No</v>
      </c>
      <c r="N254" s="7" t="str">
        <f aca="false">IF(OR(C254="UNMAPPED",D254="UNMAPPED",F254="No",H254="No",J254="No",K254="No",L254="UNMAPPED",M254="YES"),"NEEDS REVIEW","OK")</f>
        <v>NEEDS REVIEW</v>
      </c>
    </row>
    <row r="255" customFormat="false" ht="15" hidden="false" customHeight="false" outlineLevel="0" collapsed="false">
      <c r="A255" s="7" t="str">
        <f aca="false">'Raw_Data (Before)'!A255</f>
        <v>EMP0097</v>
      </c>
      <c r="B255" s="7" t="str">
        <f aca="false">PROPER(TRIM('Raw_Data (Before)'!B255))</f>
        <v>Emeka Chukwu</v>
      </c>
      <c r="C255" s="7" t="str">
        <f aca="false">IFERROR(INDEX(Lookup_Tables!$B$5:$B$24,MATCH(UPPER(TRIM('Raw_Data (Before)'!C255)),Lookup_Tables!$A$5:$A$24,0)),"UNMAPPED")</f>
        <v>IT</v>
      </c>
      <c r="D255" s="7" t="str">
        <f aca="false">IFERROR(INDEX(Lookup_Tables!$E$5:$E$8,MATCH(UPPER(TRIM('Raw_Data (Before)'!D255)),Lookup_Tables!$D$5:$D$8,0)),"UNMAPPED")</f>
        <v>Male</v>
      </c>
      <c r="E255" s="7" t="n">
        <f aca="false">'Raw_Data (Before)'!E255</f>
        <v>37</v>
      </c>
      <c r="F255" s="7" t="str">
        <f aca="false">IF(E255="","No",IF(OR(E255&lt;16,E255&gt;75),"No","Yes"))</f>
        <v>Yes</v>
      </c>
      <c r="G255" s="7" t="n">
        <f aca="false">IFERROR(VALUE(SUBSTITUTE(SUBSTITUTE('Raw_Data (Before)'!F255,"₦",""),",","")),"")</f>
        <v>687303</v>
      </c>
      <c r="H255" s="7" t="str">
        <f aca="false">IF(G255="","No",IF(OR(G255&lt;=0,G255&gt;5000000),"No","Yes"))</f>
        <v>Yes</v>
      </c>
      <c r="I255" s="8" t="n">
        <f aca="false">IFERROR(DATEVALUE('Raw_Data (Before)'!G255),"")</f>
        <v>43795</v>
      </c>
      <c r="J255" s="7" t="str">
        <f aca="false">IF(I255="","No","Yes")</f>
        <v>Yes</v>
      </c>
      <c r="K255" s="7" t="str">
        <f aca="false">IF(OR(ISERROR(FIND("@",'Raw_Data (Before)'!H255)),ISNUMBER(FIND("@@",'Raw_Data (Before)'!H255)),ISNUMBER(FIND(" ",'Raw_Data (Before)'!H255)),ISERROR(FIND(".",'Raw_Data (Before)'!H255,FIND("@",'Raw_Data (Before)'!H255)))),"No","Yes")</f>
        <v>Yes</v>
      </c>
      <c r="L255" s="7" t="str">
        <f aca="false">IFERROR(INDEX(Lookup_Tables!$H$5:$H$9,MATCH(UPPER(TRIM('Raw_Data (Before)'!I255)),Lookup_Tables!$G$5:$G$9,0)),"UNMAPPED")</f>
        <v>Active</v>
      </c>
      <c r="M255" s="7" t="str">
        <f aca="false">IF(COUNTIF('Raw_Data (Before)'!$A$5:$A$424,A255)&gt;1,"YES","No")</f>
        <v>No</v>
      </c>
      <c r="N255" s="7" t="str">
        <f aca="false">IF(OR(C255="UNMAPPED",D255="UNMAPPED",F255="No",H255="No",J255="No",K255="No",L255="UNMAPPED",M255="YES"),"NEEDS REVIEW","OK")</f>
        <v>OK</v>
      </c>
    </row>
    <row r="256" customFormat="false" ht="15" hidden="false" customHeight="false" outlineLevel="0" collapsed="false">
      <c r="A256" s="7" t="str">
        <f aca="false">'Raw_Data (Before)'!A256</f>
        <v>EMP0073</v>
      </c>
      <c r="B256" s="7" t="str">
        <f aca="false">PROPER(TRIM('Raw_Data (Before)'!B256))</f>
        <v>Tunde Bello</v>
      </c>
      <c r="C256" s="7" t="str">
        <f aca="false">IFERROR(INDEX(Lookup_Tables!$B$5:$B$24,MATCH(UPPER(TRIM('Raw_Data (Before)'!C256)),Lookup_Tables!$A$5:$A$24,0)),"UNMAPPED")</f>
        <v>Finance</v>
      </c>
      <c r="D256" s="7" t="str">
        <f aca="false">IFERROR(INDEX(Lookup_Tables!$E$5:$E$8,MATCH(UPPER(TRIM('Raw_Data (Before)'!D256)),Lookup_Tables!$D$5:$D$8,0)),"UNMAPPED")</f>
        <v>Male</v>
      </c>
      <c r="E256" s="7" t="n">
        <f aca="false">'Raw_Data (Before)'!E256</f>
        <v>59</v>
      </c>
      <c r="F256" s="7" t="str">
        <f aca="false">IF(E256="","No",IF(OR(E256&lt;16,E256&gt;75),"No","Yes"))</f>
        <v>Yes</v>
      </c>
      <c r="G256" s="7" t="n">
        <f aca="false">IFERROR(VALUE(SUBSTITUTE(SUBSTITUTE('Raw_Data (Before)'!F256,"₦",""),",","")),"")</f>
        <v>557871</v>
      </c>
      <c r="H256" s="7" t="str">
        <f aca="false">IF(G256="","No",IF(OR(G256&lt;=0,G256&gt;5000000),"No","Yes"))</f>
        <v>Yes</v>
      </c>
      <c r="I256" s="8" t="n">
        <f aca="false">IFERROR(DATEVALUE('Raw_Data (Before)'!G256),"")</f>
        <v>45836</v>
      </c>
      <c r="J256" s="7" t="str">
        <f aca="false">IF(I256="","No","Yes")</f>
        <v>Yes</v>
      </c>
      <c r="K256" s="7" t="str">
        <f aca="false">IF(OR(ISERROR(FIND("@",'Raw_Data (Before)'!H256)),ISNUMBER(FIND("@@",'Raw_Data (Before)'!H256)),ISNUMBER(FIND(" ",'Raw_Data (Before)'!H256)),ISERROR(FIND(".",'Raw_Data (Before)'!H256,FIND("@",'Raw_Data (Before)'!H256)))),"No","Yes")</f>
        <v>Yes</v>
      </c>
      <c r="L256" s="7" t="str">
        <f aca="false">IFERROR(INDEX(Lookup_Tables!$H$5:$H$9,MATCH(UPPER(TRIM('Raw_Data (Before)'!I256)),Lookup_Tables!$G$5:$G$9,0)),"UNMAPPED")</f>
        <v>Active</v>
      </c>
      <c r="M256" s="7" t="str">
        <f aca="false">IF(COUNTIF('Raw_Data (Before)'!$A$5:$A$424,A256)&gt;1,"YES","No")</f>
        <v>No</v>
      </c>
      <c r="N256" s="7" t="str">
        <f aca="false">IF(OR(C256="UNMAPPED",D256="UNMAPPED",F256="No",H256="No",J256="No",K256="No",L256="UNMAPPED",M256="YES"),"NEEDS REVIEW","OK")</f>
        <v>OK</v>
      </c>
    </row>
    <row r="257" customFormat="false" ht="15" hidden="false" customHeight="false" outlineLevel="0" collapsed="false">
      <c r="A257" s="7" t="str">
        <f aca="false">'Raw_Data (Before)'!A257</f>
        <v>EMP0124</v>
      </c>
      <c r="B257" s="7" t="str">
        <f aca="false">PROPER(TRIM('Raw_Data (Before)'!B257))</f>
        <v>Chidi Ogundipe</v>
      </c>
      <c r="C257" s="7" t="str">
        <f aca="false">IFERROR(INDEX(Lookup_Tables!$B$5:$B$24,MATCH(UPPER(TRIM('Raw_Data (Before)'!C257)),Lookup_Tables!$A$5:$A$24,0)),"UNMAPPED")</f>
        <v>Marketing</v>
      </c>
      <c r="D257" s="7" t="str">
        <f aca="false">IFERROR(INDEX(Lookup_Tables!$E$5:$E$8,MATCH(UPPER(TRIM('Raw_Data (Before)'!D257)),Lookup_Tables!$D$5:$D$8,0)),"UNMAPPED")</f>
        <v>Male</v>
      </c>
      <c r="E257" s="7" t="n">
        <f aca="false">'Raw_Data (Before)'!E257</f>
        <v>45</v>
      </c>
      <c r="F257" s="7" t="str">
        <f aca="false">IF(E257="","No",IF(OR(E257&lt;16,E257&gt;75),"No","Yes"))</f>
        <v>Yes</v>
      </c>
      <c r="G257" s="7" t="n">
        <f aca="false">IFERROR(VALUE(SUBSTITUTE(SUBSTITUTE('Raw_Data (Before)'!F257,"₦",""),",","")),"")</f>
        <v>711014</v>
      </c>
      <c r="H257" s="7" t="str">
        <f aca="false">IF(G257="","No",IF(OR(G257&lt;=0,G257&gt;5000000),"No","Yes"))</f>
        <v>Yes</v>
      </c>
      <c r="I257" s="8" t="n">
        <f aca="false">IFERROR(DATEVALUE('Raw_Data (Before)'!G257),"")</f>
        <v>44109</v>
      </c>
      <c r="J257" s="7" t="str">
        <f aca="false">IF(I257="","No","Yes")</f>
        <v>Yes</v>
      </c>
      <c r="K257" s="7" t="str">
        <f aca="false">IF(OR(ISERROR(FIND("@",'Raw_Data (Before)'!H257)),ISNUMBER(FIND("@@",'Raw_Data (Before)'!H257)),ISNUMBER(FIND(" ",'Raw_Data (Before)'!H257)),ISERROR(FIND(".",'Raw_Data (Before)'!H257,FIND("@",'Raw_Data (Before)'!H257)))),"No","Yes")</f>
        <v>Yes</v>
      </c>
      <c r="L257" s="7" t="str">
        <f aca="false">IFERROR(INDEX(Lookup_Tables!$H$5:$H$9,MATCH(UPPER(TRIM('Raw_Data (Before)'!I257)),Lookup_Tables!$G$5:$G$9,0)),"UNMAPPED")</f>
        <v>Active</v>
      </c>
      <c r="M257" s="7" t="str">
        <f aca="false">IF(COUNTIF('Raw_Data (Before)'!$A$5:$A$424,A257)&gt;1,"YES","No")</f>
        <v>No</v>
      </c>
      <c r="N257" s="7" t="str">
        <f aca="false">IF(OR(C257="UNMAPPED",D257="UNMAPPED",F257="No",H257="No",J257="No",K257="No",L257="UNMAPPED",M257="YES"),"NEEDS REVIEW","OK")</f>
        <v>OK</v>
      </c>
    </row>
    <row r="258" customFormat="false" ht="15" hidden="false" customHeight="false" outlineLevel="0" collapsed="false">
      <c r="A258" s="7" t="str">
        <f aca="false">'Raw_Data (Before)'!A258</f>
        <v>EMP0032</v>
      </c>
      <c r="B258" s="7" t="str">
        <f aca="false">PROPER(TRIM('Raw_Data (Before)'!B258))</f>
        <v>Samuel Chukwu</v>
      </c>
      <c r="C258" s="7" t="str">
        <f aca="false">IFERROR(INDEX(Lookup_Tables!$B$5:$B$24,MATCH(UPPER(TRIM('Raw_Data (Before)'!C258)),Lookup_Tables!$A$5:$A$24,0)),"UNMAPPED")</f>
        <v>Operations</v>
      </c>
      <c r="D258" s="7" t="str">
        <f aca="false">IFERROR(INDEX(Lookup_Tables!$E$5:$E$8,MATCH(UPPER(TRIM('Raw_Data (Before)'!D258)),Lookup_Tables!$D$5:$D$8,0)),"UNMAPPED")</f>
        <v>Female</v>
      </c>
      <c r="E258" s="7" t="n">
        <f aca="false">'Raw_Data (Before)'!E258</f>
        <v>42</v>
      </c>
      <c r="F258" s="7" t="str">
        <f aca="false">IF(E258="","No",IF(OR(E258&lt;16,E258&gt;75),"No","Yes"))</f>
        <v>Yes</v>
      </c>
      <c r="G258" s="7" t="n">
        <f aca="false">IFERROR(VALUE(SUBSTITUTE(SUBSTITUTE('Raw_Data (Before)'!F258,"₦",""),",","")),"")</f>
        <v>-480164</v>
      </c>
      <c r="H258" s="7" t="str">
        <f aca="false">IF(G258="","No",IF(OR(G258&lt;=0,G258&gt;5000000),"No","Yes"))</f>
        <v>No</v>
      </c>
      <c r="I258" s="8" t="n">
        <f aca="false">IFERROR(DATEVALUE('Raw_Data (Before)'!G258),"")</f>
        <v>43993</v>
      </c>
      <c r="J258" s="7" t="str">
        <f aca="false">IF(I258="","No","Yes")</f>
        <v>Yes</v>
      </c>
      <c r="K258" s="7" t="str">
        <f aca="false">IF(OR(ISERROR(FIND("@",'Raw_Data (Before)'!H258)),ISNUMBER(FIND("@@",'Raw_Data (Before)'!H258)),ISNUMBER(FIND(" ",'Raw_Data (Before)'!H258)),ISERROR(FIND(".",'Raw_Data (Before)'!H258,FIND("@",'Raw_Data (Before)'!H258)))),"No","Yes")</f>
        <v>Yes</v>
      </c>
      <c r="L258" s="7" t="str">
        <f aca="false">IFERROR(INDEX(Lookup_Tables!$H$5:$H$9,MATCH(UPPER(TRIM('Raw_Data (Before)'!I258)),Lookup_Tables!$G$5:$G$9,0)),"UNMAPPED")</f>
        <v>Active</v>
      </c>
      <c r="M258" s="7" t="str">
        <f aca="false">IF(COUNTIF('Raw_Data (Before)'!$A$5:$A$424,A258)&gt;1,"YES","No")</f>
        <v>No</v>
      </c>
      <c r="N258" s="7" t="str">
        <f aca="false">IF(OR(C258="UNMAPPED",D258="UNMAPPED",F258="No",H258="No",J258="No",K258="No",L258="UNMAPPED",M258="YES"),"NEEDS REVIEW","OK")</f>
        <v>NEEDS REVIEW</v>
      </c>
    </row>
    <row r="259" customFormat="false" ht="15" hidden="false" customHeight="false" outlineLevel="0" collapsed="false">
      <c r="A259" s="7" t="str">
        <f aca="false">'Raw_Data (Before)'!A259</f>
        <v>EMP0163</v>
      </c>
      <c r="B259" s="7" t="str">
        <f aca="false">PROPER(TRIM('Raw_Data (Before)'!B259))</f>
        <v>Bisi Uche</v>
      </c>
      <c r="C259" s="7" t="str">
        <f aca="false">IFERROR(INDEX(Lookup_Tables!$B$5:$B$24,MATCH(UPPER(TRIM('Raw_Data (Before)'!C259)),Lookup_Tables!$A$5:$A$24,0)),"UNMAPPED")</f>
        <v>IT</v>
      </c>
      <c r="D259" s="7" t="str">
        <f aca="false">IFERROR(INDEX(Lookup_Tables!$E$5:$E$8,MATCH(UPPER(TRIM('Raw_Data (Before)'!D259)),Lookup_Tables!$D$5:$D$8,0)),"UNMAPPED")</f>
        <v>Female</v>
      </c>
      <c r="E259" s="7" t="n">
        <f aca="false">'Raw_Data (Before)'!E259</f>
        <v>40</v>
      </c>
      <c r="F259" s="7" t="str">
        <f aca="false">IF(E259="","No",IF(OR(E259&lt;16,E259&gt;75),"No","Yes"))</f>
        <v>Yes</v>
      </c>
      <c r="G259" s="7" t="n">
        <f aca="false">IFERROR(VALUE(SUBSTITUTE(SUBSTITUTE('Raw_Data (Before)'!F259,"₦",""),",","")),"")</f>
        <v>825157</v>
      </c>
      <c r="H259" s="7" t="str">
        <f aca="false">IF(G259="","No",IF(OR(G259&lt;=0,G259&gt;5000000),"No","Yes"))</f>
        <v>Yes</v>
      </c>
      <c r="I259" s="8" t="str">
        <f aca="false">IFERROR(DATEVALUE('Raw_Data (Before)'!G259),"")</f>
        <v/>
      </c>
      <c r="J259" s="7" t="str">
        <f aca="false">IF(I259="","No","Yes")</f>
        <v>No</v>
      </c>
      <c r="K259" s="7" t="str">
        <f aca="false">IF(OR(ISERROR(FIND("@",'Raw_Data (Before)'!H259)),ISNUMBER(FIND("@@",'Raw_Data (Before)'!H259)),ISNUMBER(FIND(" ",'Raw_Data (Before)'!H259)),ISERROR(FIND(".",'Raw_Data (Before)'!H259,FIND("@",'Raw_Data (Before)'!H259)))),"No","Yes")</f>
        <v>No</v>
      </c>
      <c r="L259" s="7" t="str">
        <f aca="false">IFERROR(INDEX(Lookup_Tables!$H$5:$H$9,MATCH(UPPER(TRIM('Raw_Data (Before)'!I259)),Lookup_Tables!$G$5:$G$9,0)),"UNMAPPED")</f>
        <v>Inactive</v>
      </c>
      <c r="M259" s="7" t="str">
        <f aca="false">IF(COUNTIF('Raw_Data (Before)'!$A$5:$A$424,A259)&gt;1,"YES","No")</f>
        <v>No</v>
      </c>
      <c r="N259" s="7" t="str">
        <f aca="false">IF(OR(C259="UNMAPPED",D259="UNMAPPED",F259="No",H259="No",J259="No",K259="No",L259="UNMAPPED",M259="YES"),"NEEDS REVIEW","OK")</f>
        <v>NEEDS REVIEW</v>
      </c>
    </row>
    <row r="260" customFormat="false" ht="15" hidden="false" customHeight="false" outlineLevel="0" collapsed="false">
      <c r="A260" s="7" t="str">
        <f aca="false">'Raw_Data (Before)'!A260</f>
        <v>EMP0374</v>
      </c>
      <c r="B260" s="7" t="str">
        <f aca="false">PROPER(TRIM('Raw_Data (Before)'!B260))</f>
        <v>Chiamaka Obi</v>
      </c>
      <c r="C260" s="7" t="str">
        <f aca="false">IFERROR(INDEX(Lookup_Tables!$B$5:$B$24,MATCH(UPPER(TRIM('Raw_Data (Before)'!C260)),Lookup_Tables!$A$5:$A$24,0)),"UNMAPPED")</f>
        <v>Sales</v>
      </c>
      <c r="D260" s="7" t="str">
        <f aca="false">IFERROR(INDEX(Lookup_Tables!$E$5:$E$8,MATCH(UPPER(TRIM('Raw_Data (Before)'!D260)),Lookup_Tables!$D$5:$D$8,0)),"UNMAPPED")</f>
        <v>Male</v>
      </c>
      <c r="E260" s="7" t="n">
        <f aca="false">'Raw_Data (Before)'!E260</f>
        <v>38</v>
      </c>
      <c r="F260" s="7" t="str">
        <f aca="false">IF(E260="","No",IF(OR(E260&lt;16,E260&gt;75),"No","Yes"))</f>
        <v>Yes</v>
      </c>
      <c r="G260" s="7" t="n">
        <f aca="false">IFERROR(VALUE(SUBSTITUTE(SUBSTITUTE('Raw_Data (Before)'!F260,"₦",""),",","")),"")</f>
        <v>693913</v>
      </c>
      <c r="H260" s="7" t="str">
        <f aca="false">IF(G260="","No",IF(OR(G260&lt;=0,G260&gt;5000000),"No","Yes"))</f>
        <v>Yes</v>
      </c>
      <c r="I260" s="8" t="str">
        <f aca="false">IFERROR(DATEVALUE('Raw_Data (Before)'!G260),"")</f>
        <v/>
      </c>
      <c r="J260" s="7" t="str">
        <f aca="false">IF(I260="","No","Yes")</f>
        <v>No</v>
      </c>
      <c r="K260" s="7" t="str">
        <f aca="false">IF(OR(ISERROR(FIND("@",'Raw_Data (Before)'!H260)),ISNUMBER(FIND("@@",'Raw_Data (Before)'!H260)),ISNUMBER(FIND(" ",'Raw_Data (Before)'!H260)),ISERROR(FIND(".",'Raw_Data (Before)'!H260,FIND("@",'Raw_Data (Before)'!H260)))),"No","Yes")</f>
        <v>Yes</v>
      </c>
      <c r="L260" s="7" t="str">
        <f aca="false">IFERROR(INDEX(Lookup_Tables!$H$5:$H$9,MATCH(UPPER(TRIM('Raw_Data (Before)'!I260)),Lookup_Tables!$G$5:$G$9,0)),"UNMAPPED")</f>
        <v>Inactive</v>
      </c>
      <c r="M260" s="7" t="str">
        <f aca="false">IF(COUNTIF('Raw_Data (Before)'!$A$5:$A$424,A260)&gt;1,"YES","No")</f>
        <v>No</v>
      </c>
      <c r="N260" s="7" t="str">
        <f aca="false">IF(OR(C260="UNMAPPED",D260="UNMAPPED",F260="No",H260="No",J260="No",K260="No",L260="UNMAPPED",M260="YES"),"NEEDS REVIEW","OK")</f>
        <v>NEEDS REVIEW</v>
      </c>
    </row>
    <row r="261" customFormat="false" ht="15" hidden="false" customHeight="false" outlineLevel="0" collapsed="false">
      <c r="A261" s="7" t="str">
        <f aca="false">'Raw_Data (Before)'!A261</f>
        <v>EMP0142</v>
      </c>
      <c r="B261" s="7" t="str">
        <f aca="false">PROPER(TRIM('Raw_Data (Before)'!B261))</f>
        <v>Fatima Sani</v>
      </c>
      <c r="C261" s="7" t="str">
        <f aca="false">IFERROR(INDEX(Lookup_Tables!$B$5:$B$24,MATCH(UPPER(TRIM('Raw_Data (Before)'!C261)),Lookup_Tables!$A$5:$A$24,0)),"UNMAPPED")</f>
        <v>Finance</v>
      </c>
      <c r="D261" s="7" t="str">
        <f aca="false">IFERROR(INDEX(Lookup_Tables!$E$5:$E$8,MATCH(UPPER(TRIM('Raw_Data (Before)'!D261)),Lookup_Tables!$D$5:$D$8,0)),"UNMAPPED")</f>
        <v>Female</v>
      </c>
      <c r="E261" s="7" t="n">
        <f aca="false">'Raw_Data (Before)'!E261</f>
        <v>43</v>
      </c>
      <c r="F261" s="7" t="str">
        <f aca="false">IF(E261="","No",IF(OR(E261&lt;16,E261&gt;75),"No","Yes"))</f>
        <v>Yes</v>
      </c>
      <c r="G261" s="7" t="n">
        <f aca="false">IFERROR(VALUE(SUBSTITUTE(SUBSTITUTE('Raw_Data (Before)'!F261,"₦",""),",","")),"")</f>
        <v>625073</v>
      </c>
      <c r="H261" s="7" t="str">
        <f aca="false">IF(G261="","No",IF(OR(G261&lt;=0,G261&gt;5000000),"No","Yes"))</f>
        <v>Yes</v>
      </c>
      <c r="I261" s="8" t="n">
        <f aca="false">IFERROR(DATEVALUE('Raw_Data (Before)'!G261),"")</f>
        <v>45455</v>
      </c>
      <c r="J261" s="7" t="str">
        <f aca="false">IF(I261="","No","Yes")</f>
        <v>Yes</v>
      </c>
      <c r="K261" s="7" t="str">
        <f aca="false">IF(OR(ISERROR(FIND("@",'Raw_Data (Before)'!H261)),ISNUMBER(FIND("@@",'Raw_Data (Before)'!H261)),ISNUMBER(FIND(" ",'Raw_Data (Before)'!H261)),ISERROR(FIND(".",'Raw_Data (Before)'!H261,FIND("@",'Raw_Data (Before)'!H261)))),"No","Yes")</f>
        <v>Yes</v>
      </c>
      <c r="L261" s="7" t="str">
        <f aca="false">IFERROR(INDEX(Lookup_Tables!$H$5:$H$9,MATCH(UPPER(TRIM('Raw_Data (Before)'!I261)),Lookup_Tables!$G$5:$G$9,0)),"UNMAPPED")</f>
        <v>Active</v>
      </c>
      <c r="M261" s="7" t="str">
        <f aca="false">IF(COUNTIF('Raw_Data (Before)'!$A$5:$A$424,A261)&gt;1,"YES","No")</f>
        <v>No</v>
      </c>
      <c r="N261" s="7" t="str">
        <f aca="false">IF(OR(C261="UNMAPPED",D261="UNMAPPED",F261="No",H261="No",J261="No",K261="No",L261="UNMAPPED",M261="YES"),"NEEDS REVIEW","OK")</f>
        <v>OK</v>
      </c>
    </row>
    <row r="262" customFormat="false" ht="15" hidden="false" customHeight="false" outlineLevel="0" collapsed="false">
      <c r="A262" s="7" t="str">
        <f aca="false">'Raw_Data (Before)'!A262</f>
        <v>EMP0136</v>
      </c>
      <c r="B262" s="7" t="str">
        <f aca="false">PROPER(TRIM('Raw_Data (Before)'!B262))</f>
        <v>Ola Ajayi</v>
      </c>
      <c r="C262" s="7" t="str">
        <f aca="false">IFERROR(INDEX(Lookup_Tables!$B$5:$B$24,MATCH(UPPER(TRIM('Raw_Data (Before)'!C262)),Lookup_Tables!$A$5:$A$24,0)),"UNMAPPED")</f>
        <v>HR</v>
      </c>
      <c r="D262" s="7" t="str">
        <f aca="false">IFERROR(INDEX(Lookup_Tables!$E$5:$E$8,MATCH(UPPER(TRIM('Raw_Data (Before)'!D262)),Lookup_Tables!$D$5:$D$8,0)),"UNMAPPED")</f>
        <v>Female</v>
      </c>
      <c r="E262" s="7" t="n">
        <f aca="false">'Raw_Data (Before)'!E262</f>
        <v>30</v>
      </c>
      <c r="F262" s="7" t="str">
        <f aca="false">IF(E262="","No",IF(OR(E262&lt;16,E262&gt;75),"No","Yes"))</f>
        <v>Yes</v>
      </c>
      <c r="G262" s="7" t="n">
        <f aca="false">IFERROR(VALUE(SUBSTITUTE(SUBSTITUTE('Raw_Data (Before)'!F262,"₦",""),",","")),"")</f>
        <v>540294</v>
      </c>
      <c r="H262" s="7" t="str">
        <f aca="false">IF(G262="","No",IF(OR(G262&lt;=0,G262&gt;5000000),"No","Yes"))</f>
        <v>Yes</v>
      </c>
      <c r="I262" s="8" t="n">
        <f aca="false">IFERROR(DATEVALUE('Raw_Data (Before)'!G262),"")</f>
        <v>43839</v>
      </c>
      <c r="J262" s="7" t="str">
        <f aca="false">IF(I262="","No","Yes")</f>
        <v>Yes</v>
      </c>
      <c r="K262" s="7" t="str">
        <f aca="false">IF(OR(ISERROR(FIND("@",'Raw_Data (Before)'!H262)),ISNUMBER(FIND("@@",'Raw_Data (Before)'!H262)),ISNUMBER(FIND(" ",'Raw_Data (Before)'!H262)),ISERROR(FIND(".",'Raw_Data (Before)'!H262,FIND("@",'Raw_Data (Before)'!H262)))),"No","Yes")</f>
        <v>Yes</v>
      </c>
      <c r="L262" s="7" t="str">
        <f aca="false">IFERROR(INDEX(Lookup_Tables!$H$5:$H$9,MATCH(UPPER(TRIM('Raw_Data (Before)'!I262)),Lookup_Tables!$G$5:$G$9,0)),"UNMAPPED")</f>
        <v>Active</v>
      </c>
      <c r="M262" s="7" t="str">
        <f aca="false">IF(COUNTIF('Raw_Data (Before)'!$A$5:$A$424,A262)&gt;1,"YES","No")</f>
        <v>No</v>
      </c>
      <c r="N262" s="7" t="str">
        <f aca="false">IF(OR(C262="UNMAPPED",D262="UNMAPPED",F262="No",H262="No",J262="No",K262="No",L262="UNMAPPED",M262="YES"),"NEEDS REVIEW","OK")</f>
        <v>OK</v>
      </c>
    </row>
    <row r="263" customFormat="false" ht="15" hidden="false" customHeight="false" outlineLevel="0" collapsed="false">
      <c r="A263" s="7" t="str">
        <f aca="false">'Raw_Data (Before)'!A263</f>
        <v>EMP0286</v>
      </c>
      <c r="B263" s="7" t="str">
        <f aca="false">PROPER(TRIM('Raw_Data (Before)'!B263))</f>
        <v>Amaka Nwosu</v>
      </c>
      <c r="C263" s="7" t="str">
        <f aca="false">IFERROR(INDEX(Lookup_Tables!$B$5:$B$24,MATCH(UPPER(TRIM('Raw_Data (Before)'!C263)),Lookup_Tables!$A$5:$A$24,0)),"UNMAPPED")</f>
        <v>Customer Service</v>
      </c>
      <c r="D263" s="7" t="str">
        <f aca="false">IFERROR(INDEX(Lookup_Tables!$E$5:$E$8,MATCH(UPPER(TRIM('Raw_Data (Before)'!D263)),Lookup_Tables!$D$5:$D$8,0)),"UNMAPPED")</f>
        <v>Male</v>
      </c>
      <c r="E263" s="7" t="n">
        <f aca="false">'Raw_Data (Before)'!E263</f>
        <v>0</v>
      </c>
      <c r="F263" s="7" t="str">
        <f aca="false">IF(E263="","No",IF(OR(E263&lt;16,E263&gt;75),"No","Yes"))</f>
        <v>No</v>
      </c>
      <c r="G263" s="7" t="n">
        <f aca="false">IFERROR(VALUE(SUBSTITUTE(SUBSTITUTE('Raw_Data (Before)'!F263,"₦",""),",","")),"")</f>
        <v>663203</v>
      </c>
      <c r="H263" s="7" t="str">
        <f aca="false">IF(G263="","No",IF(OR(G263&lt;=0,G263&gt;5000000),"No","Yes"))</f>
        <v>Yes</v>
      </c>
      <c r="I263" s="8" t="n">
        <f aca="false">IFERROR(DATEVALUE('Raw_Data (Before)'!G263),"")</f>
        <v>44000</v>
      </c>
      <c r="J263" s="7" t="str">
        <f aca="false">IF(I263="","No","Yes")</f>
        <v>Yes</v>
      </c>
      <c r="K263" s="7" t="str">
        <f aca="false">IF(OR(ISERROR(FIND("@",'Raw_Data (Before)'!H263)),ISNUMBER(FIND("@@",'Raw_Data (Before)'!H263)),ISNUMBER(FIND(" ",'Raw_Data (Before)'!H263)),ISERROR(FIND(".",'Raw_Data (Before)'!H263,FIND("@",'Raw_Data (Before)'!H263)))),"No","Yes")</f>
        <v>Yes</v>
      </c>
      <c r="L263" s="7" t="str">
        <f aca="false">IFERROR(INDEX(Lookup_Tables!$H$5:$H$9,MATCH(UPPER(TRIM('Raw_Data (Before)'!I263)),Lookup_Tables!$G$5:$G$9,0)),"UNMAPPED")</f>
        <v>Active</v>
      </c>
      <c r="M263" s="7" t="str">
        <f aca="false">IF(COUNTIF('Raw_Data (Before)'!$A$5:$A$424,A263)&gt;1,"YES","No")</f>
        <v>No</v>
      </c>
      <c r="N263" s="7" t="str">
        <f aca="false">IF(OR(C263="UNMAPPED",D263="UNMAPPED",F263="No",H263="No",J263="No",K263="No",L263="UNMAPPED",M263="YES"),"NEEDS REVIEW","OK")</f>
        <v>NEEDS REVIEW</v>
      </c>
    </row>
    <row r="264" customFormat="false" ht="15" hidden="false" customHeight="false" outlineLevel="0" collapsed="false">
      <c r="A264" s="7" t="str">
        <f aca="false">'Raw_Data (Before)'!A264</f>
        <v>EMP0181</v>
      </c>
      <c r="B264" s="7" t="str">
        <f aca="false">PROPER(TRIM('Raw_Data (Before)'!B264))</f>
        <v>Musa Eze</v>
      </c>
      <c r="C264" s="7" t="str">
        <f aca="false">IFERROR(INDEX(Lookup_Tables!$B$5:$B$24,MATCH(UPPER(TRIM('Raw_Data (Before)'!C264)),Lookup_Tables!$A$5:$A$24,0)),"UNMAPPED")</f>
        <v>Finance</v>
      </c>
      <c r="D264" s="7" t="str">
        <f aca="false">IFERROR(INDEX(Lookup_Tables!$E$5:$E$8,MATCH(UPPER(TRIM('Raw_Data (Before)'!D264)),Lookup_Tables!$D$5:$D$8,0)),"UNMAPPED")</f>
        <v>Female</v>
      </c>
      <c r="E264" s="7" t="n">
        <f aca="false">'Raw_Data (Before)'!E264</f>
        <v>29</v>
      </c>
      <c r="F264" s="7" t="str">
        <f aca="false">IF(E264="","No",IF(OR(E264&lt;16,E264&gt;75),"No","Yes"))</f>
        <v>Yes</v>
      </c>
      <c r="G264" s="7" t="n">
        <f aca="false">IFERROR(VALUE(SUBSTITUTE(SUBSTITUTE('Raw_Data (Before)'!F264,"₦",""),",","")),"")</f>
        <v>752042</v>
      </c>
      <c r="H264" s="7" t="str">
        <f aca="false">IF(G264="","No",IF(OR(G264&lt;=0,G264&gt;5000000),"No","Yes"))</f>
        <v>Yes</v>
      </c>
      <c r="I264" s="8" t="n">
        <f aca="false">IFERROR(DATEVALUE('Raw_Data (Before)'!G264),"")</f>
        <v>43125</v>
      </c>
      <c r="J264" s="7" t="str">
        <f aca="false">IF(I264="","No","Yes")</f>
        <v>Yes</v>
      </c>
      <c r="K264" s="7" t="str">
        <f aca="false">IF(OR(ISERROR(FIND("@",'Raw_Data (Before)'!H264)),ISNUMBER(FIND("@@",'Raw_Data (Before)'!H264)),ISNUMBER(FIND(" ",'Raw_Data (Before)'!H264)),ISERROR(FIND(".",'Raw_Data (Before)'!H264,FIND("@",'Raw_Data (Before)'!H264)))),"No","Yes")</f>
        <v>Yes</v>
      </c>
      <c r="L264" s="7" t="str">
        <f aca="false">IFERROR(INDEX(Lookup_Tables!$H$5:$H$9,MATCH(UPPER(TRIM('Raw_Data (Before)'!I264)),Lookup_Tables!$G$5:$G$9,0)),"UNMAPPED")</f>
        <v>Active</v>
      </c>
      <c r="M264" s="7" t="str">
        <f aca="false">IF(COUNTIF('Raw_Data (Before)'!$A$5:$A$424,A264)&gt;1,"YES","No")</f>
        <v>No</v>
      </c>
      <c r="N264" s="7" t="str">
        <f aca="false">IF(OR(C264="UNMAPPED",D264="UNMAPPED",F264="No",H264="No",J264="No",K264="No",L264="UNMAPPED",M264="YES"),"NEEDS REVIEW","OK")</f>
        <v>OK</v>
      </c>
    </row>
    <row r="265" customFormat="false" ht="15" hidden="false" customHeight="false" outlineLevel="0" collapsed="false">
      <c r="A265" s="7" t="str">
        <f aca="false">'Raw_Data (Before)'!A265</f>
        <v>EMP0128</v>
      </c>
      <c r="B265" s="7" t="str">
        <f aca="false">PROPER(TRIM('Raw_Data (Before)'!B265))</f>
        <v>Musa Nwosu</v>
      </c>
      <c r="C265" s="7" t="str">
        <f aca="false">IFERROR(INDEX(Lookup_Tables!$B$5:$B$24,MATCH(UPPER(TRIM('Raw_Data (Before)'!C265)),Lookup_Tables!$A$5:$A$24,0)),"UNMAPPED")</f>
        <v>Finance</v>
      </c>
      <c r="D265" s="7" t="str">
        <f aca="false">IFERROR(INDEX(Lookup_Tables!$E$5:$E$8,MATCH(UPPER(TRIM('Raw_Data (Before)'!D265)),Lookup_Tables!$D$5:$D$8,0)),"UNMAPPED")</f>
        <v>Male</v>
      </c>
      <c r="E265" s="7" t="n">
        <f aca="false">'Raw_Data (Before)'!E265</f>
        <v>36</v>
      </c>
      <c r="F265" s="7" t="str">
        <f aca="false">IF(E265="","No",IF(OR(E265&lt;16,E265&gt;75),"No","Yes"))</f>
        <v>Yes</v>
      </c>
      <c r="G265" s="7" t="n">
        <f aca="false">IFERROR(VALUE(SUBSTITUTE(SUBSTITUTE('Raw_Data (Before)'!F265,"₦",""),",","")),"")</f>
        <v>126760</v>
      </c>
      <c r="H265" s="7" t="str">
        <f aca="false">IF(G265="","No",IF(OR(G265&lt;=0,G265&gt;5000000),"No","Yes"))</f>
        <v>Yes</v>
      </c>
      <c r="I265" s="8" t="n">
        <f aca="false">IFERROR(DATEVALUE('Raw_Data (Before)'!G265),"")</f>
        <v>44749</v>
      </c>
      <c r="J265" s="7" t="str">
        <f aca="false">IF(I265="","No","Yes")</f>
        <v>Yes</v>
      </c>
      <c r="K265" s="7" t="str">
        <f aca="false">IF(OR(ISERROR(FIND("@",'Raw_Data (Before)'!H265)),ISNUMBER(FIND("@@",'Raw_Data (Before)'!H265)),ISNUMBER(FIND(" ",'Raw_Data (Before)'!H265)),ISERROR(FIND(".",'Raw_Data (Before)'!H265,FIND("@",'Raw_Data (Before)'!H265)))),"No","Yes")</f>
        <v>Yes</v>
      </c>
      <c r="L265" s="7" t="str">
        <f aca="false">IFERROR(INDEX(Lookup_Tables!$H$5:$H$9,MATCH(UPPER(TRIM('Raw_Data (Before)'!I265)),Lookup_Tables!$G$5:$G$9,0)),"UNMAPPED")</f>
        <v>Active</v>
      </c>
      <c r="M265" s="7" t="str">
        <f aca="false">IF(COUNTIF('Raw_Data (Before)'!$A$5:$A$424,A265)&gt;1,"YES","No")</f>
        <v>No</v>
      </c>
      <c r="N265" s="7" t="str">
        <f aca="false">IF(OR(C265="UNMAPPED",D265="UNMAPPED",F265="No",H265="No",J265="No",K265="No",L265="UNMAPPED",M265="YES"),"NEEDS REVIEW","OK")</f>
        <v>OK</v>
      </c>
    </row>
    <row r="266" customFormat="false" ht="15" hidden="false" customHeight="false" outlineLevel="0" collapsed="false">
      <c r="A266" s="7" t="str">
        <f aca="false">'Raw_Data (Before)'!A266</f>
        <v>EMP0172</v>
      </c>
      <c r="B266" s="7" t="str">
        <f aca="false">PROPER(TRIM('Raw_Data (Before)'!B266))</f>
        <v>Patience Nnamdi</v>
      </c>
      <c r="C266" s="7" t="str">
        <f aca="false">IFERROR(INDEX(Lookup_Tables!$B$5:$B$24,MATCH(UPPER(TRIM('Raw_Data (Before)'!C266)),Lookup_Tables!$A$5:$A$24,0)),"UNMAPPED")</f>
        <v>Finance</v>
      </c>
      <c r="D266" s="7" t="str">
        <f aca="false">IFERROR(INDEX(Lookup_Tables!$E$5:$E$8,MATCH(UPPER(TRIM('Raw_Data (Before)'!D266)),Lookup_Tables!$D$5:$D$8,0)),"UNMAPPED")</f>
        <v>Female</v>
      </c>
      <c r="E266" s="7" t="n">
        <f aca="false">'Raw_Data (Before)'!E266</f>
        <v>44</v>
      </c>
      <c r="F266" s="7" t="str">
        <f aca="false">IF(E266="","No",IF(OR(E266&lt;16,E266&gt;75),"No","Yes"))</f>
        <v>Yes</v>
      </c>
      <c r="G266" s="7" t="n">
        <f aca="false">IFERROR(VALUE(SUBSTITUTE(SUBSTITUTE('Raw_Data (Before)'!F266,"₦",""),",","")),"")</f>
        <v>640632</v>
      </c>
      <c r="H266" s="7" t="str">
        <f aca="false">IF(G266="","No",IF(OR(G266&lt;=0,G266&gt;5000000),"No","Yes"))</f>
        <v>Yes</v>
      </c>
      <c r="I266" s="8" t="n">
        <f aca="false">IFERROR(DATEVALUE('Raw_Data (Before)'!G266),"")</f>
        <v>45542</v>
      </c>
      <c r="J266" s="7" t="str">
        <f aca="false">IF(I266="","No","Yes")</f>
        <v>Yes</v>
      </c>
      <c r="K266" s="7" t="str">
        <f aca="false">IF(OR(ISERROR(FIND("@",'Raw_Data (Before)'!H266)),ISNUMBER(FIND("@@",'Raw_Data (Before)'!H266)),ISNUMBER(FIND(" ",'Raw_Data (Before)'!H266)),ISERROR(FIND(".",'Raw_Data (Before)'!H266,FIND("@",'Raw_Data (Before)'!H266)))),"No","Yes")</f>
        <v>Yes</v>
      </c>
      <c r="L266" s="7" t="str">
        <f aca="false">IFERROR(INDEX(Lookup_Tables!$H$5:$H$9,MATCH(UPPER(TRIM('Raw_Data (Before)'!I266)),Lookup_Tables!$G$5:$G$9,0)),"UNMAPPED")</f>
        <v>Inactive</v>
      </c>
      <c r="M266" s="7" t="str">
        <f aca="false">IF(COUNTIF('Raw_Data (Before)'!$A$5:$A$424,A266)&gt;1,"YES","No")</f>
        <v>YES</v>
      </c>
      <c r="N266" s="7" t="str">
        <f aca="false">IF(OR(C266="UNMAPPED",D266="UNMAPPED",F266="No",H266="No",J266="No",K266="No",L266="UNMAPPED",M266="YES"),"NEEDS REVIEW","OK")</f>
        <v>NEEDS REVIEW</v>
      </c>
    </row>
    <row r="267" customFormat="false" ht="15" hidden="false" customHeight="false" outlineLevel="0" collapsed="false">
      <c r="A267" s="7" t="str">
        <f aca="false">'Raw_Data (Before)'!A267</f>
        <v>EMP0387</v>
      </c>
      <c r="B267" s="7" t="str">
        <f aca="false">PROPER(TRIM('Raw_Data (Before)'!B267))</f>
        <v>David Duru</v>
      </c>
      <c r="C267" s="7" t="str">
        <f aca="false">IFERROR(INDEX(Lookup_Tables!$B$5:$B$24,MATCH(UPPER(TRIM('Raw_Data (Before)'!C267)),Lookup_Tables!$A$5:$A$24,0)),"UNMAPPED")</f>
        <v>Finance</v>
      </c>
      <c r="D267" s="7" t="str">
        <f aca="false">IFERROR(INDEX(Lookup_Tables!$E$5:$E$8,MATCH(UPPER(TRIM('Raw_Data (Before)'!D267)),Lookup_Tables!$D$5:$D$8,0)),"UNMAPPED")</f>
        <v>Female</v>
      </c>
      <c r="E267" s="7" t="n">
        <f aca="false">'Raw_Data (Before)'!E267</f>
        <v>58</v>
      </c>
      <c r="F267" s="7" t="str">
        <f aca="false">IF(E267="","No",IF(OR(E267&lt;16,E267&gt;75),"No","Yes"))</f>
        <v>Yes</v>
      </c>
      <c r="G267" s="7" t="n">
        <f aca="false">IFERROR(VALUE(SUBSTITUTE(SUBSTITUTE('Raw_Data (Before)'!F267,"₦",""),",","")),"")</f>
        <v>543461</v>
      </c>
      <c r="H267" s="7" t="str">
        <f aca="false">IF(G267="","No",IF(OR(G267&lt;=0,G267&gt;5000000),"No","Yes"))</f>
        <v>Yes</v>
      </c>
      <c r="I267" s="8" t="n">
        <f aca="false">IFERROR(DATEVALUE('Raw_Data (Before)'!G267),"")</f>
        <v>44404</v>
      </c>
      <c r="J267" s="7" t="str">
        <f aca="false">IF(I267="","No","Yes")</f>
        <v>Yes</v>
      </c>
      <c r="K267" s="7" t="str">
        <f aca="false">IF(OR(ISERROR(FIND("@",'Raw_Data (Before)'!H267)),ISNUMBER(FIND("@@",'Raw_Data (Before)'!H267)),ISNUMBER(FIND(" ",'Raw_Data (Before)'!H267)),ISERROR(FIND(".",'Raw_Data (Before)'!H267,FIND("@",'Raw_Data (Before)'!H267)))),"No","Yes")</f>
        <v>Yes</v>
      </c>
      <c r="L267" s="7" t="str">
        <f aca="false">IFERROR(INDEX(Lookup_Tables!$H$5:$H$9,MATCH(UPPER(TRIM('Raw_Data (Before)'!I267)),Lookup_Tables!$G$5:$G$9,0)),"UNMAPPED")</f>
        <v>Inactive</v>
      </c>
      <c r="M267" s="7" t="str">
        <f aca="false">IF(COUNTIF('Raw_Data (Before)'!$A$5:$A$424,A267)&gt;1,"YES","No")</f>
        <v>No</v>
      </c>
      <c r="N267" s="7" t="str">
        <f aca="false">IF(OR(C267="UNMAPPED",D267="UNMAPPED",F267="No",H267="No",J267="No",K267="No",L267="UNMAPPED",M267="YES"),"NEEDS REVIEW","OK")</f>
        <v>OK</v>
      </c>
    </row>
    <row r="268" customFormat="false" ht="15" hidden="false" customHeight="false" outlineLevel="0" collapsed="false">
      <c r="A268" s="7" t="str">
        <f aca="false">'Raw_Data (Before)'!A268</f>
        <v>EMP0260</v>
      </c>
      <c r="B268" s="7" t="str">
        <f aca="false">PROPER(TRIM('Raw_Data (Before)'!B268))</f>
        <v>Musa Obi</v>
      </c>
      <c r="C268" s="7" t="str">
        <f aca="false">IFERROR(INDEX(Lookup_Tables!$B$5:$B$24,MATCH(UPPER(TRIM('Raw_Data (Before)'!C268)),Lookup_Tables!$A$5:$A$24,0)),"UNMAPPED")</f>
        <v>HR</v>
      </c>
      <c r="D268" s="7" t="str">
        <f aca="false">IFERROR(INDEX(Lookup_Tables!$E$5:$E$8,MATCH(UPPER(TRIM('Raw_Data (Before)'!D268)),Lookup_Tables!$D$5:$D$8,0)),"UNMAPPED")</f>
        <v>Male</v>
      </c>
      <c r="E268" s="7" t="n">
        <f aca="false">'Raw_Data (Before)'!E268</f>
        <v>37</v>
      </c>
      <c r="F268" s="7" t="str">
        <f aca="false">IF(E268="","No",IF(OR(E268&lt;16,E268&gt;75),"No","Yes"))</f>
        <v>Yes</v>
      </c>
      <c r="G268" s="7" t="n">
        <f aca="false">IFERROR(VALUE(SUBSTITUTE(SUBSTITUTE('Raw_Data (Before)'!F268,"₦",""),",","")),"")</f>
        <v>852366</v>
      </c>
      <c r="H268" s="7" t="str">
        <f aca="false">IF(G268="","No",IF(OR(G268&lt;=0,G268&gt;5000000),"No","Yes"))</f>
        <v>Yes</v>
      </c>
      <c r="I268" s="8" t="n">
        <f aca="false">IFERROR(DATEVALUE('Raw_Data (Before)'!G268),"")</f>
        <v>44108</v>
      </c>
      <c r="J268" s="7" t="str">
        <f aca="false">IF(I268="","No","Yes")</f>
        <v>Yes</v>
      </c>
      <c r="K268" s="7" t="str">
        <f aca="false">IF(OR(ISERROR(FIND("@",'Raw_Data (Before)'!H268)),ISNUMBER(FIND("@@",'Raw_Data (Before)'!H268)),ISNUMBER(FIND(" ",'Raw_Data (Before)'!H268)),ISERROR(FIND(".",'Raw_Data (Before)'!H268,FIND("@",'Raw_Data (Before)'!H268)))),"No","Yes")</f>
        <v>Yes</v>
      </c>
      <c r="L268" s="7" t="str">
        <f aca="false">IFERROR(INDEX(Lookup_Tables!$H$5:$H$9,MATCH(UPPER(TRIM('Raw_Data (Before)'!I268)),Lookup_Tables!$G$5:$G$9,0)),"UNMAPPED")</f>
        <v>Inactive</v>
      </c>
      <c r="M268" s="7" t="str">
        <f aca="false">IF(COUNTIF('Raw_Data (Before)'!$A$5:$A$424,A268)&gt;1,"YES","No")</f>
        <v>No</v>
      </c>
      <c r="N268" s="7" t="str">
        <f aca="false">IF(OR(C268="UNMAPPED",D268="UNMAPPED",F268="No",H268="No",J268="No",K268="No",L268="UNMAPPED",M268="YES"),"NEEDS REVIEW","OK")</f>
        <v>OK</v>
      </c>
    </row>
    <row r="269" customFormat="false" ht="15" hidden="false" customHeight="false" outlineLevel="0" collapsed="false">
      <c r="A269" s="7" t="str">
        <f aca="false">'Raw_Data (Before)'!A269</f>
        <v>EMP0309</v>
      </c>
      <c r="B269" s="7" t="str">
        <f aca="false">PROPER(TRIM('Raw_Data (Before)'!B269))</f>
        <v>Victor Duru</v>
      </c>
      <c r="C269" s="7" t="str">
        <f aca="false">IFERROR(INDEX(Lookup_Tables!$B$5:$B$24,MATCH(UPPER(TRIM('Raw_Data (Before)'!C269)),Lookup_Tables!$A$5:$A$24,0)),"UNMAPPED")</f>
        <v>Marketing</v>
      </c>
      <c r="D269" s="7" t="str">
        <f aca="false">IFERROR(INDEX(Lookup_Tables!$E$5:$E$8,MATCH(UPPER(TRIM('Raw_Data (Before)'!D269)),Lookup_Tables!$D$5:$D$8,0)),"UNMAPPED")</f>
        <v>Male</v>
      </c>
      <c r="E269" s="7" t="n">
        <f aca="false">'Raw_Data (Before)'!E269</f>
        <v>52</v>
      </c>
      <c r="F269" s="7" t="str">
        <f aca="false">IF(E269="","No",IF(OR(E269&lt;16,E269&gt;75),"No","Yes"))</f>
        <v>Yes</v>
      </c>
      <c r="G269" s="7" t="n">
        <f aca="false">IFERROR(VALUE(SUBSTITUTE(SUBSTITUTE('Raw_Data (Before)'!F269,"₦",""),",","")),"")</f>
        <v>785263</v>
      </c>
      <c r="H269" s="7" t="str">
        <f aca="false">IF(G269="","No",IF(OR(G269&lt;=0,G269&gt;5000000),"No","Yes"))</f>
        <v>Yes</v>
      </c>
      <c r="I269" s="8" t="n">
        <f aca="false">IFERROR(DATEVALUE('Raw_Data (Before)'!G269),"")</f>
        <v>43370</v>
      </c>
      <c r="J269" s="7" t="str">
        <f aca="false">IF(I269="","No","Yes")</f>
        <v>Yes</v>
      </c>
      <c r="K269" s="7" t="str">
        <f aca="false">IF(OR(ISERROR(FIND("@",'Raw_Data (Before)'!H269)),ISNUMBER(FIND("@@",'Raw_Data (Before)'!H269)),ISNUMBER(FIND(" ",'Raw_Data (Before)'!H269)),ISERROR(FIND(".",'Raw_Data (Before)'!H269,FIND("@",'Raw_Data (Before)'!H269)))),"No","Yes")</f>
        <v>Yes</v>
      </c>
      <c r="L269" s="7" t="str">
        <f aca="false">IFERROR(INDEX(Lookup_Tables!$H$5:$H$9,MATCH(UPPER(TRIM('Raw_Data (Before)'!I269)),Lookup_Tables!$G$5:$G$9,0)),"UNMAPPED")</f>
        <v>Inactive</v>
      </c>
      <c r="M269" s="7" t="str">
        <f aca="false">IF(COUNTIF('Raw_Data (Before)'!$A$5:$A$424,A269)&gt;1,"YES","No")</f>
        <v>YES</v>
      </c>
      <c r="N269" s="7" t="str">
        <f aca="false">IF(OR(C269="UNMAPPED",D269="UNMAPPED",F269="No",H269="No",J269="No",K269="No",L269="UNMAPPED",M269="YES"),"NEEDS REVIEW","OK")</f>
        <v>NEEDS REVIEW</v>
      </c>
    </row>
    <row r="270" customFormat="false" ht="15" hidden="false" customHeight="false" outlineLevel="0" collapsed="false">
      <c r="A270" s="7" t="str">
        <f aca="false">'Raw_Data (Before)'!A270</f>
        <v>EMP0095</v>
      </c>
      <c r="B270" s="7" t="str">
        <f aca="false">PROPER(TRIM('Raw_Data (Before)'!B270))</f>
        <v>David Yakubu</v>
      </c>
      <c r="C270" s="7" t="str">
        <f aca="false">IFERROR(INDEX(Lookup_Tables!$B$5:$B$24,MATCH(UPPER(TRIM('Raw_Data (Before)'!C270)),Lookup_Tables!$A$5:$A$24,0)),"UNMAPPED")</f>
        <v>Finance</v>
      </c>
      <c r="D270" s="7" t="str">
        <f aca="false">IFERROR(INDEX(Lookup_Tables!$E$5:$E$8,MATCH(UPPER(TRIM('Raw_Data (Before)'!D270)),Lookup_Tables!$D$5:$D$8,0)),"UNMAPPED")</f>
        <v>Male</v>
      </c>
      <c r="E270" s="7" t="n">
        <f aca="false">'Raw_Data (Before)'!E270</f>
        <v>46</v>
      </c>
      <c r="F270" s="7" t="str">
        <f aca="false">IF(E270="","No",IF(OR(E270&lt;16,E270&gt;75),"No","Yes"))</f>
        <v>Yes</v>
      </c>
      <c r="G270" s="7" t="n">
        <f aca="false">IFERROR(VALUE(SUBSTITUTE(SUBSTITUTE('Raw_Data (Before)'!F270,"₦",""),",","")),"")</f>
        <v>493767</v>
      </c>
      <c r="H270" s="7" t="str">
        <f aca="false">IF(G270="","No",IF(OR(G270&lt;=0,G270&gt;5000000),"No","Yes"))</f>
        <v>Yes</v>
      </c>
      <c r="I270" s="8" t="n">
        <f aca="false">IFERROR(DATEVALUE('Raw_Data (Before)'!G270),"")</f>
        <v>45673</v>
      </c>
      <c r="J270" s="7" t="str">
        <f aca="false">IF(I270="","No","Yes")</f>
        <v>Yes</v>
      </c>
      <c r="K270" s="7" t="str">
        <f aca="false">IF(OR(ISERROR(FIND("@",'Raw_Data (Before)'!H270)),ISNUMBER(FIND("@@",'Raw_Data (Before)'!H270)),ISNUMBER(FIND(" ",'Raw_Data (Before)'!H270)),ISERROR(FIND(".",'Raw_Data (Before)'!H270,FIND("@",'Raw_Data (Before)'!H270)))),"No","Yes")</f>
        <v>Yes</v>
      </c>
      <c r="L270" s="7" t="str">
        <f aca="false">IFERROR(INDEX(Lookup_Tables!$H$5:$H$9,MATCH(UPPER(TRIM('Raw_Data (Before)'!I270)),Lookup_Tables!$G$5:$G$9,0)),"UNMAPPED")</f>
        <v>Active</v>
      </c>
      <c r="M270" s="7" t="str">
        <f aca="false">IF(COUNTIF('Raw_Data (Before)'!$A$5:$A$424,A270)&gt;1,"YES","No")</f>
        <v>No</v>
      </c>
      <c r="N270" s="7" t="str">
        <f aca="false">IF(OR(C270="UNMAPPED",D270="UNMAPPED",F270="No",H270="No",J270="No",K270="No",L270="UNMAPPED",M270="YES"),"NEEDS REVIEW","OK")</f>
        <v>OK</v>
      </c>
    </row>
    <row r="271" customFormat="false" ht="15" hidden="false" customHeight="false" outlineLevel="0" collapsed="false">
      <c r="A271" s="7" t="str">
        <f aca="false">'Raw_Data (Before)'!A271</f>
        <v>EMP0218</v>
      </c>
      <c r="B271" s="7" t="str">
        <f aca="false">PROPER(TRIM('Raw_Data (Before)'!B271))</f>
        <v>Grace Lawal</v>
      </c>
      <c r="C271" s="7" t="str">
        <f aca="false">IFERROR(INDEX(Lookup_Tables!$B$5:$B$24,MATCH(UPPER(TRIM('Raw_Data (Before)'!C271)),Lookup_Tables!$A$5:$A$24,0)),"UNMAPPED")</f>
        <v>Finance</v>
      </c>
      <c r="D271" s="7" t="str">
        <f aca="false">IFERROR(INDEX(Lookup_Tables!$E$5:$E$8,MATCH(UPPER(TRIM('Raw_Data (Before)'!D271)),Lookup_Tables!$D$5:$D$8,0)),"UNMAPPED")</f>
        <v>Male</v>
      </c>
      <c r="E271" s="7" t="n">
        <f aca="false">'Raw_Data (Before)'!E271</f>
        <v>46</v>
      </c>
      <c r="F271" s="7" t="str">
        <f aca="false">IF(E271="","No",IF(OR(E271&lt;16,E271&gt;75),"No","Yes"))</f>
        <v>Yes</v>
      </c>
      <c r="G271" s="7" t="n">
        <f aca="false">IFERROR(VALUE(SUBSTITUTE(SUBSTITUTE('Raw_Data (Before)'!F271,"₦",""),",","")),"")</f>
        <v>174614</v>
      </c>
      <c r="H271" s="7" t="str">
        <f aca="false">IF(G271="","No",IF(OR(G271&lt;=0,G271&gt;5000000),"No","Yes"))</f>
        <v>Yes</v>
      </c>
      <c r="I271" s="8" t="n">
        <f aca="false">IFERROR(DATEVALUE('Raw_Data (Before)'!G271),"")</f>
        <v>43557</v>
      </c>
      <c r="J271" s="7" t="str">
        <f aca="false">IF(I271="","No","Yes")</f>
        <v>Yes</v>
      </c>
      <c r="K271" s="7" t="str">
        <f aca="false">IF(OR(ISERROR(FIND("@",'Raw_Data (Before)'!H271)),ISNUMBER(FIND("@@",'Raw_Data (Before)'!H271)),ISNUMBER(FIND(" ",'Raw_Data (Before)'!H271)),ISERROR(FIND(".",'Raw_Data (Before)'!H271,FIND("@",'Raw_Data (Before)'!H271)))),"No","Yes")</f>
        <v>Yes</v>
      </c>
      <c r="L271" s="7" t="str">
        <f aca="false">IFERROR(INDEX(Lookup_Tables!$H$5:$H$9,MATCH(UPPER(TRIM('Raw_Data (Before)'!I271)),Lookup_Tables!$G$5:$G$9,0)),"UNMAPPED")</f>
        <v>Active</v>
      </c>
      <c r="M271" s="7" t="str">
        <f aca="false">IF(COUNTIF('Raw_Data (Before)'!$A$5:$A$424,A271)&gt;1,"YES","No")</f>
        <v>No</v>
      </c>
      <c r="N271" s="7" t="str">
        <f aca="false">IF(OR(C271="UNMAPPED",D271="UNMAPPED",F271="No",H271="No",J271="No",K271="No",L271="UNMAPPED",M271="YES"),"NEEDS REVIEW","OK")</f>
        <v>OK</v>
      </c>
    </row>
    <row r="272" customFormat="false" ht="15" hidden="false" customHeight="false" outlineLevel="0" collapsed="false">
      <c r="A272" s="7" t="str">
        <f aca="false">'Raw_Data (Before)'!A272</f>
        <v>EMP0079</v>
      </c>
      <c r="B272" s="7" t="str">
        <f aca="false">PROPER(TRIM('Raw_Data (Before)'!B272))</f>
        <v>Bisi Chukwu</v>
      </c>
      <c r="C272" s="7" t="str">
        <f aca="false">IFERROR(INDEX(Lookup_Tables!$B$5:$B$24,MATCH(UPPER(TRIM('Raw_Data (Before)'!C272)),Lookup_Tables!$A$5:$A$24,0)),"UNMAPPED")</f>
        <v>Customer Service</v>
      </c>
      <c r="D272" s="7" t="str">
        <f aca="false">IFERROR(INDEX(Lookup_Tables!$E$5:$E$8,MATCH(UPPER(TRIM('Raw_Data (Before)'!D272)),Lookup_Tables!$D$5:$D$8,0)),"UNMAPPED")</f>
        <v>Male</v>
      </c>
      <c r="E272" s="7" t="n">
        <f aca="false">'Raw_Data (Before)'!E272</f>
        <v>44</v>
      </c>
      <c r="F272" s="7" t="str">
        <f aca="false">IF(E272="","No",IF(OR(E272&lt;16,E272&gt;75),"No","Yes"))</f>
        <v>Yes</v>
      </c>
      <c r="G272" s="7" t="n">
        <f aca="false">IFERROR(VALUE(SUBSTITUTE(SUBSTITUTE('Raw_Data (Before)'!F272,"₦",""),",","")),"")</f>
        <v>685406</v>
      </c>
      <c r="H272" s="7" t="str">
        <f aca="false">IF(G272="","No",IF(OR(G272&lt;=0,G272&gt;5000000),"No","Yes"))</f>
        <v>Yes</v>
      </c>
      <c r="I272" s="8" t="n">
        <f aca="false">IFERROR(DATEVALUE('Raw_Data (Before)'!G272),"")</f>
        <v>44622</v>
      </c>
      <c r="J272" s="7" t="str">
        <f aca="false">IF(I272="","No","Yes")</f>
        <v>Yes</v>
      </c>
      <c r="K272" s="7" t="str">
        <f aca="false">IF(OR(ISERROR(FIND("@",'Raw_Data (Before)'!H272)),ISNUMBER(FIND("@@",'Raw_Data (Before)'!H272)),ISNUMBER(FIND(" ",'Raw_Data (Before)'!H272)),ISERROR(FIND(".",'Raw_Data (Before)'!H272,FIND("@",'Raw_Data (Before)'!H272)))),"No","Yes")</f>
        <v>Yes</v>
      </c>
      <c r="L272" s="7" t="str">
        <f aca="false">IFERROR(INDEX(Lookup_Tables!$H$5:$H$9,MATCH(UPPER(TRIM('Raw_Data (Before)'!I272)),Lookup_Tables!$G$5:$G$9,0)),"UNMAPPED")</f>
        <v>Inactive</v>
      </c>
      <c r="M272" s="7" t="str">
        <f aca="false">IF(COUNTIF('Raw_Data (Before)'!$A$5:$A$424,A272)&gt;1,"YES","No")</f>
        <v>No</v>
      </c>
      <c r="N272" s="7" t="str">
        <f aca="false">IF(OR(C272="UNMAPPED",D272="UNMAPPED",F272="No",H272="No",J272="No",K272="No",L272="UNMAPPED",M272="YES"),"NEEDS REVIEW","OK")</f>
        <v>OK</v>
      </c>
    </row>
    <row r="273" customFormat="false" ht="15" hidden="false" customHeight="false" outlineLevel="0" collapsed="false">
      <c r="A273" s="7" t="str">
        <f aca="false">'Raw_Data (Before)'!A273</f>
        <v>EMP0081</v>
      </c>
      <c r="B273" s="7" t="str">
        <f aca="false">PROPER(TRIM('Raw_Data (Before)'!B273))</f>
        <v>David Bello</v>
      </c>
      <c r="C273" s="7" t="str">
        <f aca="false">IFERROR(INDEX(Lookup_Tables!$B$5:$B$24,MATCH(UPPER(TRIM('Raw_Data (Before)'!C273)),Lookup_Tables!$A$5:$A$24,0)),"UNMAPPED")</f>
        <v>Operations</v>
      </c>
      <c r="D273" s="7" t="str">
        <f aca="false">IFERROR(INDEX(Lookup_Tables!$E$5:$E$8,MATCH(UPPER(TRIM('Raw_Data (Before)'!D273)),Lookup_Tables!$D$5:$D$8,0)),"UNMAPPED")</f>
        <v>Female</v>
      </c>
      <c r="E273" s="7" t="n">
        <f aca="false">'Raw_Data (Before)'!E273</f>
        <v>23</v>
      </c>
      <c r="F273" s="7" t="str">
        <f aca="false">IF(E273="","No",IF(OR(E273&lt;16,E273&gt;75),"No","Yes"))</f>
        <v>Yes</v>
      </c>
      <c r="G273" s="7" t="str">
        <f aca="false">IFERROR(VALUE(SUBSTITUTE(SUBSTITUTE('Raw_Data (Before)'!F273,"₦",""),",","")),"")</f>
        <v/>
      </c>
      <c r="H273" s="7" t="str">
        <f aca="false">IF(G273="","No",IF(OR(G273&lt;=0,G273&gt;5000000),"No","Yes"))</f>
        <v>No</v>
      </c>
      <c r="I273" s="8" t="n">
        <f aca="false">IFERROR(DATEVALUE('Raw_Data (Before)'!G273),"")</f>
        <v>43641</v>
      </c>
      <c r="J273" s="7" t="str">
        <f aca="false">IF(I273="","No","Yes")</f>
        <v>Yes</v>
      </c>
      <c r="K273" s="7" t="str">
        <f aca="false">IF(OR(ISERROR(FIND("@",'Raw_Data (Before)'!H273)),ISNUMBER(FIND("@@",'Raw_Data (Before)'!H273)),ISNUMBER(FIND(" ",'Raw_Data (Before)'!H273)),ISERROR(FIND(".",'Raw_Data (Before)'!H273,FIND("@",'Raw_Data (Before)'!H273)))),"No","Yes")</f>
        <v>Yes</v>
      </c>
      <c r="L273" s="7" t="str">
        <f aca="false">IFERROR(INDEX(Lookup_Tables!$H$5:$H$9,MATCH(UPPER(TRIM('Raw_Data (Before)'!I273)),Lookup_Tables!$G$5:$G$9,0)),"UNMAPPED")</f>
        <v>Active</v>
      </c>
      <c r="M273" s="7" t="str">
        <f aca="false">IF(COUNTIF('Raw_Data (Before)'!$A$5:$A$424,A273)&gt;1,"YES","No")</f>
        <v>No</v>
      </c>
      <c r="N273" s="7" t="str">
        <f aca="false">IF(OR(C273="UNMAPPED",D273="UNMAPPED",F273="No",H273="No",J273="No",K273="No",L273="UNMAPPED",M273="YES"),"NEEDS REVIEW","OK")</f>
        <v>NEEDS REVIEW</v>
      </c>
    </row>
    <row r="274" customFormat="false" ht="15" hidden="false" customHeight="false" outlineLevel="0" collapsed="false">
      <c r="A274" s="7" t="str">
        <f aca="false">'Raw_Data (Before)'!A274</f>
        <v>EMP0208</v>
      </c>
      <c r="B274" s="7" t="str">
        <f aca="false">PROPER(TRIM('Raw_Data (Before)'!B274))</f>
        <v>Bisi Okafor</v>
      </c>
      <c r="C274" s="7" t="str">
        <f aca="false">IFERROR(INDEX(Lookup_Tables!$B$5:$B$24,MATCH(UPPER(TRIM('Raw_Data (Before)'!C274)),Lookup_Tables!$A$5:$A$24,0)),"UNMAPPED")</f>
        <v>Sales</v>
      </c>
      <c r="D274" s="7" t="str">
        <f aca="false">IFERROR(INDEX(Lookup_Tables!$E$5:$E$8,MATCH(UPPER(TRIM('Raw_Data (Before)'!D274)),Lookup_Tables!$D$5:$D$8,0)),"UNMAPPED")</f>
        <v>Female</v>
      </c>
      <c r="E274" s="7" t="n">
        <f aca="false">'Raw_Data (Before)'!E274</f>
        <v>41</v>
      </c>
      <c r="F274" s="7" t="str">
        <f aca="false">IF(E274="","No",IF(OR(E274&lt;16,E274&gt;75),"No","Yes"))</f>
        <v>Yes</v>
      </c>
      <c r="G274" s="7" t="n">
        <f aca="false">IFERROR(VALUE(SUBSTITUTE(SUBSTITUTE('Raw_Data (Before)'!F274,"₦",""),",","")),"")</f>
        <v>108913</v>
      </c>
      <c r="H274" s="7" t="str">
        <f aca="false">IF(G274="","No",IF(OR(G274&lt;=0,G274&gt;5000000),"No","Yes"))</f>
        <v>Yes</v>
      </c>
      <c r="I274" s="8" t="n">
        <f aca="false">IFERROR(DATEVALUE('Raw_Data (Before)'!G274),"")</f>
        <v>45300</v>
      </c>
      <c r="J274" s="7" t="str">
        <f aca="false">IF(I274="","No","Yes")</f>
        <v>Yes</v>
      </c>
      <c r="K274" s="7" t="str">
        <f aca="false">IF(OR(ISERROR(FIND("@",'Raw_Data (Before)'!H274)),ISNUMBER(FIND("@@",'Raw_Data (Before)'!H274)),ISNUMBER(FIND(" ",'Raw_Data (Before)'!H274)),ISERROR(FIND(".",'Raw_Data (Before)'!H274,FIND("@",'Raw_Data (Before)'!H274)))),"No","Yes")</f>
        <v>Yes</v>
      </c>
      <c r="L274" s="7" t="str">
        <f aca="false">IFERROR(INDEX(Lookup_Tables!$H$5:$H$9,MATCH(UPPER(TRIM('Raw_Data (Before)'!I274)),Lookup_Tables!$G$5:$G$9,0)),"UNMAPPED")</f>
        <v>Active</v>
      </c>
      <c r="M274" s="7" t="str">
        <f aca="false">IF(COUNTIF('Raw_Data (Before)'!$A$5:$A$424,A274)&gt;1,"YES","No")</f>
        <v>No</v>
      </c>
      <c r="N274" s="7" t="str">
        <f aca="false">IF(OR(C274="UNMAPPED",D274="UNMAPPED",F274="No",H274="No",J274="No",K274="No",L274="UNMAPPED",M274="YES"),"NEEDS REVIEW","OK")</f>
        <v>OK</v>
      </c>
    </row>
    <row r="275" customFormat="false" ht="15" hidden="false" customHeight="false" outlineLevel="0" collapsed="false">
      <c r="A275" s="7" t="str">
        <f aca="false">'Raw_Data (Before)'!A275</f>
        <v>EMP0287</v>
      </c>
      <c r="B275" s="7" t="str">
        <f aca="false">PROPER(TRIM('Raw_Data (Before)'!B275))</f>
        <v>Emeka Bello</v>
      </c>
      <c r="C275" s="7" t="str">
        <f aca="false">IFERROR(INDEX(Lookup_Tables!$B$5:$B$24,MATCH(UPPER(TRIM('Raw_Data (Before)'!C275)),Lookup_Tables!$A$5:$A$24,0)),"UNMAPPED")</f>
        <v>HR</v>
      </c>
      <c r="D275" s="7" t="str">
        <f aca="false">IFERROR(INDEX(Lookup_Tables!$E$5:$E$8,MATCH(UPPER(TRIM('Raw_Data (Before)'!D275)),Lookup_Tables!$D$5:$D$8,0)),"UNMAPPED")</f>
        <v>Female</v>
      </c>
      <c r="E275" s="7" t="n">
        <f aca="false">'Raw_Data (Before)'!E275</f>
        <v>31</v>
      </c>
      <c r="F275" s="7" t="str">
        <f aca="false">IF(E275="","No",IF(OR(E275&lt;16,E275&gt;75),"No","Yes"))</f>
        <v>Yes</v>
      </c>
      <c r="G275" s="7" t="n">
        <f aca="false">IFERROR(VALUE(SUBSTITUTE(SUBSTITUTE('Raw_Data (Before)'!F275,"₦",""),",","")),"")</f>
        <v>725818</v>
      </c>
      <c r="H275" s="7" t="str">
        <f aca="false">IF(G275="","No",IF(OR(G275&lt;=0,G275&gt;5000000),"No","Yes"))</f>
        <v>Yes</v>
      </c>
      <c r="I275" s="8" t="n">
        <f aca="false">IFERROR(DATEVALUE('Raw_Data (Before)'!G275),"")</f>
        <v>43953</v>
      </c>
      <c r="J275" s="7" t="str">
        <f aca="false">IF(I275="","No","Yes")</f>
        <v>Yes</v>
      </c>
      <c r="K275" s="7" t="str">
        <f aca="false">IF(OR(ISERROR(FIND("@",'Raw_Data (Before)'!H275)),ISNUMBER(FIND("@@",'Raw_Data (Before)'!H275)),ISNUMBER(FIND(" ",'Raw_Data (Before)'!H275)),ISERROR(FIND(".",'Raw_Data (Before)'!H275,FIND("@",'Raw_Data (Before)'!H275)))),"No","Yes")</f>
        <v>Yes</v>
      </c>
      <c r="L275" s="7" t="str">
        <f aca="false">IFERROR(INDEX(Lookup_Tables!$H$5:$H$9,MATCH(UPPER(TRIM('Raw_Data (Before)'!I275)),Lookup_Tables!$G$5:$G$9,0)),"UNMAPPED")</f>
        <v>Active</v>
      </c>
      <c r="M275" s="7" t="str">
        <f aca="false">IF(COUNTIF('Raw_Data (Before)'!$A$5:$A$424,A275)&gt;1,"YES","No")</f>
        <v>YES</v>
      </c>
      <c r="N275" s="7" t="str">
        <f aca="false">IF(OR(C275="UNMAPPED",D275="UNMAPPED",F275="No",H275="No",J275="No",K275="No",L275="UNMAPPED",M275="YES"),"NEEDS REVIEW","OK")</f>
        <v>NEEDS REVIEW</v>
      </c>
    </row>
    <row r="276" customFormat="false" ht="15" hidden="false" customHeight="false" outlineLevel="0" collapsed="false">
      <c r="A276" s="7" t="str">
        <f aca="false">'Raw_Data (Before)'!A276</f>
        <v>EMP0178</v>
      </c>
      <c r="B276" s="7" t="str">
        <f aca="false">PROPER(TRIM('Raw_Data (Before)'!B276))</f>
        <v>Emeka Uche</v>
      </c>
      <c r="C276" s="7" t="str">
        <f aca="false">IFERROR(INDEX(Lookup_Tables!$B$5:$B$24,MATCH(UPPER(TRIM('Raw_Data (Before)'!C276)),Lookup_Tables!$A$5:$A$24,0)),"UNMAPPED")</f>
        <v>IT</v>
      </c>
      <c r="D276" s="7" t="str">
        <f aca="false">IFERROR(INDEX(Lookup_Tables!$E$5:$E$8,MATCH(UPPER(TRIM('Raw_Data (Before)'!D276)),Lookup_Tables!$D$5:$D$8,0)),"UNMAPPED")</f>
        <v>Male</v>
      </c>
      <c r="E276" s="7" t="n">
        <f aca="false">'Raw_Data (Before)'!E276</f>
        <v>26</v>
      </c>
      <c r="F276" s="7" t="str">
        <f aca="false">IF(E276="","No",IF(OR(E276&lt;16,E276&gt;75),"No","Yes"))</f>
        <v>Yes</v>
      </c>
      <c r="G276" s="7" t="n">
        <f aca="false">IFERROR(VALUE(SUBSTITUTE(SUBSTITUTE('Raw_Data (Before)'!F276,"₦",""),",","")),"")</f>
        <v>517503</v>
      </c>
      <c r="H276" s="7" t="str">
        <f aca="false">IF(G276="","No",IF(OR(G276&lt;=0,G276&gt;5000000),"No","Yes"))</f>
        <v>Yes</v>
      </c>
      <c r="I276" s="8" t="n">
        <f aca="false">IFERROR(DATEVALUE('Raw_Data (Before)'!G276),"")</f>
        <v>43961</v>
      </c>
      <c r="J276" s="7" t="str">
        <f aca="false">IF(I276="","No","Yes")</f>
        <v>Yes</v>
      </c>
      <c r="K276" s="7" t="str">
        <f aca="false">IF(OR(ISERROR(FIND("@",'Raw_Data (Before)'!H276)),ISNUMBER(FIND("@@",'Raw_Data (Before)'!H276)),ISNUMBER(FIND(" ",'Raw_Data (Before)'!H276)),ISERROR(FIND(".",'Raw_Data (Before)'!H276,FIND("@",'Raw_Data (Before)'!H276)))),"No","Yes")</f>
        <v>Yes</v>
      </c>
      <c r="L276" s="7" t="str">
        <f aca="false">IFERROR(INDEX(Lookup_Tables!$H$5:$H$9,MATCH(UPPER(TRIM('Raw_Data (Before)'!I276)),Lookup_Tables!$G$5:$G$9,0)),"UNMAPPED")</f>
        <v>Active</v>
      </c>
      <c r="M276" s="7" t="str">
        <f aca="false">IF(COUNTIF('Raw_Data (Before)'!$A$5:$A$424,A276)&gt;1,"YES","No")</f>
        <v>No</v>
      </c>
      <c r="N276" s="7" t="str">
        <f aca="false">IF(OR(C276="UNMAPPED",D276="UNMAPPED",F276="No",H276="No",J276="No",K276="No",L276="UNMAPPED",M276="YES"),"NEEDS REVIEW","OK")</f>
        <v>OK</v>
      </c>
    </row>
    <row r="277" customFormat="false" ht="15" hidden="false" customHeight="false" outlineLevel="0" collapsed="false">
      <c r="A277" s="7" t="str">
        <f aca="false">'Raw_Data (Before)'!A277</f>
        <v>EMP0321</v>
      </c>
      <c r="B277" s="7" t="str">
        <f aca="false">PROPER(TRIM('Raw_Data (Before)'!B277))</f>
        <v>Grace Duru</v>
      </c>
      <c r="C277" s="7" t="str">
        <f aca="false">IFERROR(INDEX(Lookup_Tables!$B$5:$B$24,MATCH(UPPER(TRIM('Raw_Data (Before)'!C277)),Lookup_Tables!$A$5:$A$24,0)),"UNMAPPED")</f>
        <v>Sales</v>
      </c>
      <c r="D277" s="7" t="str">
        <f aca="false">IFERROR(INDEX(Lookup_Tables!$E$5:$E$8,MATCH(UPPER(TRIM('Raw_Data (Before)'!D277)),Lookup_Tables!$D$5:$D$8,0)),"UNMAPPED")</f>
        <v>Male</v>
      </c>
      <c r="E277" s="7" t="n">
        <f aca="false">'Raw_Data (Before)'!E277</f>
        <v>39</v>
      </c>
      <c r="F277" s="7" t="str">
        <f aca="false">IF(E277="","No",IF(OR(E277&lt;16,E277&gt;75),"No","Yes"))</f>
        <v>Yes</v>
      </c>
      <c r="G277" s="7" t="n">
        <f aca="false">IFERROR(VALUE(SUBSTITUTE(SUBSTITUTE('Raw_Data (Before)'!F277,"₦",""),",","")),"")</f>
        <v>517661</v>
      </c>
      <c r="H277" s="7" t="str">
        <f aca="false">IF(G277="","No",IF(OR(G277&lt;=0,G277&gt;5000000),"No","Yes"))</f>
        <v>Yes</v>
      </c>
      <c r="I277" s="8" t="n">
        <f aca="false">IFERROR(DATEVALUE('Raw_Data (Before)'!G277),"")</f>
        <v>43401</v>
      </c>
      <c r="J277" s="7" t="str">
        <f aca="false">IF(I277="","No","Yes")</f>
        <v>Yes</v>
      </c>
      <c r="K277" s="7" t="str">
        <f aca="false">IF(OR(ISERROR(FIND("@",'Raw_Data (Before)'!H277)),ISNUMBER(FIND("@@",'Raw_Data (Before)'!H277)),ISNUMBER(FIND(" ",'Raw_Data (Before)'!H277)),ISERROR(FIND(".",'Raw_Data (Before)'!H277,FIND("@",'Raw_Data (Before)'!H277)))),"No","Yes")</f>
        <v>Yes</v>
      </c>
      <c r="L277" s="7" t="str">
        <f aca="false">IFERROR(INDEX(Lookup_Tables!$H$5:$H$9,MATCH(UPPER(TRIM('Raw_Data (Before)'!I277)),Lookup_Tables!$G$5:$G$9,0)),"UNMAPPED")</f>
        <v>Active</v>
      </c>
      <c r="M277" s="7" t="str">
        <f aca="false">IF(COUNTIF('Raw_Data (Before)'!$A$5:$A$424,A277)&gt;1,"YES","No")</f>
        <v>No</v>
      </c>
      <c r="N277" s="7" t="str">
        <f aca="false">IF(OR(C277="UNMAPPED",D277="UNMAPPED",F277="No",H277="No",J277="No",K277="No",L277="UNMAPPED",M277="YES"),"NEEDS REVIEW","OK")</f>
        <v>OK</v>
      </c>
    </row>
    <row r="278" customFormat="false" ht="15" hidden="false" customHeight="false" outlineLevel="0" collapsed="false">
      <c r="A278" s="7" t="str">
        <f aca="false">'Raw_Data (Before)'!A278</f>
        <v>EMP0108</v>
      </c>
      <c r="B278" s="7" t="str">
        <f aca="false">PROPER(TRIM('Raw_Data (Before)'!B278))</f>
        <v>James Bello</v>
      </c>
      <c r="C278" s="7" t="str">
        <f aca="false">IFERROR(INDEX(Lookup_Tables!$B$5:$B$24,MATCH(UPPER(TRIM('Raw_Data (Before)'!C278)),Lookup_Tables!$A$5:$A$24,0)),"UNMAPPED")</f>
        <v>Operations</v>
      </c>
      <c r="D278" s="7" t="str">
        <f aca="false">IFERROR(INDEX(Lookup_Tables!$E$5:$E$8,MATCH(UPPER(TRIM('Raw_Data (Before)'!D278)),Lookup_Tables!$D$5:$D$8,0)),"UNMAPPED")</f>
        <v>Male</v>
      </c>
      <c r="E278" s="7" t="n">
        <f aca="false">'Raw_Data (Before)'!E278</f>
        <v>58</v>
      </c>
      <c r="F278" s="7" t="str">
        <f aca="false">IF(E278="","No",IF(OR(E278&lt;16,E278&gt;75),"No","Yes"))</f>
        <v>Yes</v>
      </c>
      <c r="G278" s="7" t="n">
        <f aca="false">IFERROR(VALUE(SUBSTITUTE(SUBSTITUTE('Raw_Data (Before)'!F278,"₦",""),",","")),"")</f>
        <v>95713</v>
      </c>
      <c r="H278" s="7" t="str">
        <f aca="false">IF(G278="","No",IF(OR(G278&lt;=0,G278&gt;5000000),"No","Yes"))</f>
        <v>Yes</v>
      </c>
      <c r="I278" s="8" t="n">
        <f aca="false">IFERROR(DATEVALUE('Raw_Data (Before)'!G278),"")</f>
        <v>43676</v>
      </c>
      <c r="J278" s="7" t="str">
        <f aca="false">IF(I278="","No","Yes")</f>
        <v>Yes</v>
      </c>
      <c r="K278" s="7" t="str">
        <f aca="false">IF(OR(ISERROR(FIND("@",'Raw_Data (Before)'!H278)),ISNUMBER(FIND("@@",'Raw_Data (Before)'!H278)),ISNUMBER(FIND(" ",'Raw_Data (Before)'!H278)),ISERROR(FIND(".",'Raw_Data (Before)'!H278,FIND("@",'Raw_Data (Before)'!H278)))),"No","Yes")</f>
        <v>Yes</v>
      </c>
      <c r="L278" s="7" t="str">
        <f aca="false">IFERROR(INDEX(Lookup_Tables!$H$5:$H$9,MATCH(UPPER(TRIM('Raw_Data (Before)'!I278)),Lookup_Tables!$G$5:$G$9,0)),"UNMAPPED")</f>
        <v>Active</v>
      </c>
      <c r="M278" s="7" t="str">
        <f aca="false">IF(COUNTIF('Raw_Data (Before)'!$A$5:$A$424,A278)&gt;1,"YES","No")</f>
        <v>YES</v>
      </c>
      <c r="N278" s="7" t="str">
        <f aca="false">IF(OR(C278="UNMAPPED",D278="UNMAPPED",F278="No",H278="No",J278="No",K278="No",L278="UNMAPPED",M278="YES"),"NEEDS REVIEW","OK")</f>
        <v>NEEDS REVIEW</v>
      </c>
    </row>
    <row r="279" customFormat="false" ht="15" hidden="false" customHeight="false" outlineLevel="0" collapsed="false">
      <c r="A279" s="7" t="str">
        <f aca="false">'Raw_Data (Before)'!A279</f>
        <v>EMP0146</v>
      </c>
      <c r="B279" s="7" t="str">
        <f aca="false">PROPER(TRIM('Raw_Data (Before)'!B279))</f>
        <v>Hauwa Sani</v>
      </c>
      <c r="C279" s="7" t="str">
        <f aca="false">IFERROR(INDEX(Lookup_Tables!$B$5:$B$24,MATCH(UPPER(TRIM('Raw_Data (Before)'!C279)),Lookup_Tables!$A$5:$A$24,0)),"UNMAPPED")</f>
        <v>Sales</v>
      </c>
      <c r="D279" s="7" t="str">
        <f aca="false">IFERROR(INDEX(Lookup_Tables!$E$5:$E$8,MATCH(UPPER(TRIM('Raw_Data (Before)'!D279)),Lookup_Tables!$D$5:$D$8,0)),"UNMAPPED")</f>
        <v>Male</v>
      </c>
      <c r="E279" s="7" t="n">
        <f aca="false">'Raw_Data (Before)'!E279</f>
        <v>30</v>
      </c>
      <c r="F279" s="7" t="str">
        <f aca="false">IF(E279="","No",IF(OR(E279&lt;16,E279&gt;75),"No","Yes"))</f>
        <v>Yes</v>
      </c>
      <c r="G279" s="7" t="n">
        <f aca="false">IFERROR(VALUE(SUBSTITUTE(SUBSTITUTE('Raw_Data (Before)'!F279,"₦",""),",","")),"")</f>
        <v>781262</v>
      </c>
      <c r="H279" s="7" t="str">
        <f aca="false">IF(G279="","No",IF(OR(G279&lt;=0,G279&gt;5000000),"No","Yes"))</f>
        <v>Yes</v>
      </c>
      <c r="I279" s="8" t="str">
        <f aca="false">IFERROR(DATEVALUE('Raw_Data (Before)'!G279),"")</f>
        <v/>
      </c>
      <c r="J279" s="7" t="str">
        <f aca="false">IF(I279="","No","Yes")</f>
        <v>No</v>
      </c>
      <c r="K279" s="7" t="str">
        <f aca="false">IF(OR(ISERROR(FIND("@",'Raw_Data (Before)'!H279)),ISNUMBER(FIND("@@",'Raw_Data (Before)'!H279)),ISNUMBER(FIND(" ",'Raw_Data (Before)'!H279)),ISERROR(FIND(".",'Raw_Data (Before)'!H279,FIND("@",'Raw_Data (Before)'!H279)))),"No","Yes")</f>
        <v>Yes</v>
      </c>
      <c r="L279" s="7" t="str">
        <f aca="false">IFERROR(INDEX(Lookup_Tables!$H$5:$H$9,MATCH(UPPER(TRIM('Raw_Data (Before)'!I279)),Lookup_Tables!$G$5:$G$9,0)),"UNMAPPED")</f>
        <v>Inactive</v>
      </c>
      <c r="M279" s="7" t="str">
        <f aca="false">IF(COUNTIF('Raw_Data (Before)'!$A$5:$A$424,A279)&gt;1,"YES","No")</f>
        <v>YES</v>
      </c>
      <c r="N279" s="7" t="str">
        <f aca="false">IF(OR(C279="UNMAPPED",D279="UNMAPPED",F279="No",H279="No",J279="No",K279="No",L279="UNMAPPED",M279="YES"),"NEEDS REVIEW","OK")</f>
        <v>NEEDS REVIEW</v>
      </c>
    </row>
    <row r="280" customFormat="false" ht="15" hidden="false" customHeight="false" outlineLevel="0" collapsed="false">
      <c r="A280" s="7" t="str">
        <f aca="false">'Raw_Data (Before)'!A280</f>
        <v>EMP0183</v>
      </c>
      <c r="B280" s="7" t="str">
        <f aca="false">PROPER(TRIM('Raw_Data (Before)'!B280))</f>
        <v>Gabriel Nwosu</v>
      </c>
      <c r="C280" s="7" t="str">
        <f aca="false">IFERROR(INDEX(Lookup_Tables!$B$5:$B$24,MATCH(UPPER(TRIM('Raw_Data (Before)'!C280)),Lookup_Tables!$A$5:$A$24,0)),"UNMAPPED")</f>
        <v>Sales</v>
      </c>
      <c r="D280" s="7" t="str">
        <f aca="false">IFERROR(INDEX(Lookup_Tables!$E$5:$E$8,MATCH(UPPER(TRIM('Raw_Data (Before)'!D280)),Lookup_Tables!$D$5:$D$8,0)),"UNMAPPED")</f>
        <v>Female</v>
      </c>
      <c r="E280" s="7" t="n">
        <f aca="false">'Raw_Data (Before)'!E280</f>
        <v>49</v>
      </c>
      <c r="F280" s="7" t="str">
        <f aca="false">IF(E280="","No",IF(OR(E280&lt;16,E280&gt;75),"No","Yes"))</f>
        <v>Yes</v>
      </c>
      <c r="G280" s="7" t="n">
        <f aca="false">IFERROR(VALUE(SUBSTITUTE(SUBSTITUTE('Raw_Data (Before)'!F280,"₦",""),",","")),"")</f>
        <v>571425</v>
      </c>
      <c r="H280" s="7" t="str">
        <f aca="false">IF(G280="","No",IF(OR(G280&lt;=0,G280&gt;5000000),"No","Yes"))</f>
        <v>Yes</v>
      </c>
      <c r="I280" s="8" t="n">
        <f aca="false">IFERROR(DATEVALUE('Raw_Data (Before)'!G280),"")</f>
        <v>45200</v>
      </c>
      <c r="J280" s="7" t="str">
        <f aca="false">IF(I280="","No","Yes")</f>
        <v>Yes</v>
      </c>
      <c r="K280" s="7" t="str">
        <f aca="false">IF(OR(ISERROR(FIND("@",'Raw_Data (Before)'!H280)),ISNUMBER(FIND("@@",'Raw_Data (Before)'!H280)),ISNUMBER(FIND(" ",'Raw_Data (Before)'!H280)),ISERROR(FIND(".",'Raw_Data (Before)'!H280,FIND("@",'Raw_Data (Before)'!H280)))),"No","Yes")</f>
        <v>Yes</v>
      </c>
      <c r="L280" s="7" t="str">
        <f aca="false">IFERROR(INDEX(Lookup_Tables!$H$5:$H$9,MATCH(UPPER(TRIM('Raw_Data (Before)'!I280)),Lookup_Tables!$G$5:$G$9,0)),"UNMAPPED")</f>
        <v>Active</v>
      </c>
      <c r="M280" s="7" t="str">
        <f aca="false">IF(COUNTIF('Raw_Data (Before)'!$A$5:$A$424,A280)&gt;1,"YES","No")</f>
        <v>No</v>
      </c>
      <c r="N280" s="7" t="str">
        <f aca="false">IF(OR(C280="UNMAPPED",D280="UNMAPPED",F280="No",H280="No",J280="No",K280="No",L280="UNMAPPED",M280="YES"),"NEEDS REVIEW","OK")</f>
        <v>OK</v>
      </c>
    </row>
    <row r="281" customFormat="false" ht="15" hidden="false" customHeight="false" outlineLevel="0" collapsed="false">
      <c r="A281" s="7" t="str">
        <f aca="false">'Raw_Data (Before)'!A281</f>
        <v>EMP0398</v>
      </c>
      <c r="B281" s="7" t="str">
        <f aca="false">PROPER(TRIM('Raw_Data (Before)'!B281))</f>
        <v>Ruth Abubakar</v>
      </c>
      <c r="C281" s="7" t="str">
        <f aca="false">IFERROR(INDEX(Lookup_Tables!$B$5:$B$24,MATCH(UPPER(TRIM('Raw_Data (Before)'!C281)),Lookup_Tables!$A$5:$A$24,0)),"UNMAPPED")</f>
        <v>Marketing</v>
      </c>
      <c r="D281" s="7" t="str">
        <f aca="false">IFERROR(INDEX(Lookup_Tables!$E$5:$E$8,MATCH(UPPER(TRIM('Raw_Data (Before)'!D281)),Lookup_Tables!$D$5:$D$8,0)),"UNMAPPED")</f>
        <v>Female</v>
      </c>
      <c r="E281" s="7" t="n">
        <f aca="false">'Raw_Data (Before)'!E281</f>
        <v>0</v>
      </c>
      <c r="F281" s="7" t="str">
        <f aca="false">IF(E281="","No",IF(OR(E281&lt;16,E281&gt;75),"No","Yes"))</f>
        <v>No</v>
      </c>
      <c r="G281" s="7" t="n">
        <f aca="false">IFERROR(VALUE(SUBSTITUTE(SUBSTITUTE('Raw_Data (Before)'!F281,"₦",""),",","")),"")</f>
        <v>478791</v>
      </c>
      <c r="H281" s="7" t="str">
        <f aca="false">IF(G281="","No",IF(OR(G281&lt;=0,G281&gt;5000000),"No","Yes"))</f>
        <v>Yes</v>
      </c>
      <c r="I281" s="8" t="n">
        <f aca="false">IFERROR(DATEVALUE('Raw_Data (Before)'!G281),"")</f>
        <v>44930</v>
      </c>
      <c r="J281" s="7" t="str">
        <f aca="false">IF(I281="","No","Yes")</f>
        <v>Yes</v>
      </c>
      <c r="K281" s="7" t="str">
        <f aca="false">IF(OR(ISERROR(FIND("@",'Raw_Data (Before)'!H281)),ISNUMBER(FIND("@@",'Raw_Data (Before)'!H281)),ISNUMBER(FIND(" ",'Raw_Data (Before)'!H281)),ISERROR(FIND(".",'Raw_Data (Before)'!H281,FIND("@",'Raw_Data (Before)'!H281)))),"No","Yes")</f>
        <v>Yes</v>
      </c>
      <c r="L281" s="7" t="str">
        <f aca="false">IFERROR(INDEX(Lookup_Tables!$H$5:$H$9,MATCH(UPPER(TRIM('Raw_Data (Before)'!I281)),Lookup_Tables!$G$5:$G$9,0)),"UNMAPPED")</f>
        <v>Active</v>
      </c>
      <c r="M281" s="7" t="str">
        <f aca="false">IF(COUNTIF('Raw_Data (Before)'!$A$5:$A$424,A281)&gt;1,"YES","No")</f>
        <v>No</v>
      </c>
      <c r="N281" s="7" t="str">
        <f aca="false">IF(OR(C281="UNMAPPED",D281="UNMAPPED",F281="No",H281="No",J281="No",K281="No",L281="UNMAPPED",M281="YES"),"NEEDS REVIEW","OK")</f>
        <v>NEEDS REVIEW</v>
      </c>
    </row>
    <row r="282" customFormat="false" ht="15" hidden="false" customHeight="false" outlineLevel="0" collapsed="false">
      <c r="A282" s="7" t="str">
        <f aca="false">'Raw_Data (Before)'!A282</f>
        <v>EMP0249</v>
      </c>
      <c r="B282" s="7" t="str">
        <f aca="false">PROPER(TRIM('Raw_Data (Before)'!B282))</f>
        <v>Hauwa Sani</v>
      </c>
      <c r="C282" s="7" t="str">
        <f aca="false">IFERROR(INDEX(Lookup_Tables!$B$5:$B$24,MATCH(UPPER(TRIM('Raw_Data (Before)'!C282)),Lookup_Tables!$A$5:$A$24,0)),"UNMAPPED")</f>
        <v>Operations</v>
      </c>
      <c r="D282" s="7" t="str">
        <f aca="false">IFERROR(INDEX(Lookup_Tables!$E$5:$E$8,MATCH(UPPER(TRIM('Raw_Data (Before)'!D282)),Lookup_Tables!$D$5:$D$8,0)),"UNMAPPED")</f>
        <v>Female</v>
      </c>
      <c r="E282" s="7" t="n">
        <f aca="false">'Raw_Data (Before)'!E282</f>
        <v>53</v>
      </c>
      <c r="F282" s="7" t="str">
        <f aca="false">IF(E282="","No",IF(OR(E282&lt;16,E282&gt;75),"No","Yes"))</f>
        <v>Yes</v>
      </c>
      <c r="G282" s="7" t="n">
        <f aca="false">IFERROR(VALUE(SUBSTITUTE(SUBSTITUTE('Raw_Data (Before)'!F282,"₦",""),",","")),"")</f>
        <v>331287</v>
      </c>
      <c r="H282" s="7" t="str">
        <f aca="false">IF(G282="","No",IF(OR(G282&lt;=0,G282&gt;5000000),"No","Yes"))</f>
        <v>Yes</v>
      </c>
      <c r="I282" s="8" t="n">
        <f aca="false">IFERROR(DATEVALUE('Raw_Data (Before)'!G282),"")</f>
        <v>44083</v>
      </c>
      <c r="J282" s="7" t="str">
        <f aca="false">IF(I282="","No","Yes")</f>
        <v>Yes</v>
      </c>
      <c r="K282" s="7" t="str">
        <f aca="false">IF(OR(ISERROR(FIND("@",'Raw_Data (Before)'!H282)),ISNUMBER(FIND("@@",'Raw_Data (Before)'!H282)),ISNUMBER(FIND(" ",'Raw_Data (Before)'!H282)),ISERROR(FIND(".",'Raw_Data (Before)'!H282,FIND("@",'Raw_Data (Before)'!H282)))),"No","Yes")</f>
        <v>No</v>
      </c>
      <c r="L282" s="7" t="str">
        <f aca="false">IFERROR(INDEX(Lookup_Tables!$H$5:$H$9,MATCH(UPPER(TRIM('Raw_Data (Before)'!I282)),Lookup_Tables!$G$5:$G$9,0)),"UNMAPPED")</f>
        <v>Active</v>
      </c>
      <c r="M282" s="7" t="str">
        <f aca="false">IF(COUNTIF('Raw_Data (Before)'!$A$5:$A$424,A282)&gt;1,"YES","No")</f>
        <v>No</v>
      </c>
      <c r="N282" s="7" t="str">
        <f aca="false">IF(OR(C282="UNMAPPED",D282="UNMAPPED",F282="No",H282="No",J282="No",K282="No",L282="UNMAPPED",M282="YES"),"NEEDS REVIEW","OK")</f>
        <v>NEEDS REVIEW</v>
      </c>
    </row>
    <row r="283" customFormat="false" ht="15" hidden="false" customHeight="false" outlineLevel="0" collapsed="false">
      <c r="A283" s="7" t="str">
        <f aca="false">'Raw_Data (Before)'!A283</f>
        <v>EMP0397</v>
      </c>
      <c r="B283" s="7" t="str">
        <f aca="false">PROPER(TRIM('Raw_Data (Before)'!B283))</f>
        <v>Tunde Ajayi</v>
      </c>
      <c r="C283" s="7" t="str">
        <f aca="false">IFERROR(INDEX(Lookup_Tables!$B$5:$B$24,MATCH(UPPER(TRIM('Raw_Data (Before)'!C283)),Lookup_Tables!$A$5:$A$24,0)),"UNMAPPED")</f>
        <v>Finance</v>
      </c>
      <c r="D283" s="7" t="str">
        <f aca="false">IFERROR(INDEX(Lookup_Tables!$E$5:$E$8,MATCH(UPPER(TRIM('Raw_Data (Before)'!D283)),Lookup_Tables!$D$5:$D$8,0)),"UNMAPPED")</f>
        <v>Female</v>
      </c>
      <c r="E283" s="7" t="n">
        <f aca="false">'Raw_Data (Before)'!E283</f>
        <v>46</v>
      </c>
      <c r="F283" s="7" t="str">
        <f aca="false">IF(E283="","No",IF(OR(E283&lt;16,E283&gt;75),"No","Yes"))</f>
        <v>Yes</v>
      </c>
      <c r="G283" s="7" t="n">
        <f aca="false">IFERROR(VALUE(SUBSTITUTE(SUBSTITUTE('Raw_Data (Before)'!F283,"₦",""),",","")),"")</f>
        <v>332055</v>
      </c>
      <c r="H283" s="7" t="str">
        <f aca="false">IF(G283="","No",IF(OR(G283&lt;=0,G283&gt;5000000),"No","Yes"))</f>
        <v>Yes</v>
      </c>
      <c r="I283" s="8" t="str">
        <f aca="false">IFERROR(DATEVALUE('Raw_Data (Before)'!G283),"")</f>
        <v/>
      </c>
      <c r="J283" s="7" t="str">
        <f aca="false">IF(I283="","No","Yes")</f>
        <v>No</v>
      </c>
      <c r="K283" s="7" t="str">
        <f aca="false">IF(OR(ISERROR(FIND("@",'Raw_Data (Before)'!H283)),ISNUMBER(FIND("@@",'Raw_Data (Before)'!H283)),ISNUMBER(FIND(" ",'Raw_Data (Before)'!H283)),ISERROR(FIND(".",'Raw_Data (Before)'!H283,FIND("@",'Raw_Data (Before)'!H283)))),"No","Yes")</f>
        <v>Yes</v>
      </c>
      <c r="L283" s="7" t="str">
        <f aca="false">IFERROR(INDEX(Lookup_Tables!$H$5:$H$9,MATCH(UPPER(TRIM('Raw_Data (Before)'!I283)),Lookup_Tables!$G$5:$G$9,0)),"UNMAPPED")</f>
        <v>Inactive</v>
      </c>
      <c r="M283" s="7" t="str">
        <f aca="false">IF(COUNTIF('Raw_Data (Before)'!$A$5:$A$424,A283)&gt;1,"YES","No")</f>
        <v>No</v>
      </c>
      <c r="N283" s="7" t="str">
        <f aca="false">IF(OR(C283="UNMAPPED",D283="UNMAPPED",F283="No",H283="No",J283="No",K283="No",L283="UNMAPPED",M283="YES"),"NEEDS REVIEW","OK")</f>
        <v>NEEDS REVIEW</v>
      </c>
    </row>
    <row r="284" customFormat="false" ht="15" hidden="false" customHeight="false" outlineLevel="0" collapsed="false">
      <c r="A284" s="7" t="str">
        <f aca="false">'Raw_Data (Before)'!A284</f>
        <v>EMP0179</v>
      </c>
      <c r="B284" s="7" t="str">
        <f aca="false">PROPER(TRIM('Raw_Data (Before)'!B284))</f>
        <v>David Sani</v>
      </c>
      <c r="C284" s="7" t="str">
        <f aca="false">IFERROR(INDEX(Lookup_Tables!$B$5:$B$24,MATCH(UPPER(TRIM('Raw_Data (Before)'!C284)),Lookup_Tables!$A$5:$A$24,0)),"UNMAPPED")</f>
        <v>IT</v>
      </c>
      <c r="D284" s="7" t="str">
        <f aca="false">IFERROR(INDEX(Lookup_Tables!$E$5:$E$8,MATCH(UPPER(TRIM('Raw_Data (Before)'!D284)),Lookup_Tables!$D$5:$D$8,0)),"UNMAPPED")</f>
        <v>Female</v>
      </c>
      <c r="E284" s="7" t="n">
        <f aca="false">'Raw_Data (Before)'!E284</f>
        <v>49</v>
      </c>
      <c r="F284" s="7" t="str">
        <f aca="false">IF(E284="","No",IF(OR(E284&lt;16,E284&gt;75),"No","Yes"))</f>
        <v>Yes</v>
      </c>
      <c r="G284" s="7" t="str">
        <f aca="false">IFERROR(VALUE(SUBSTITUTE(SUBSTITUTE('Raw_Data (Before)'!F284,"₦",""),",","")),"")</f>
        <v/>
      </c>
      <c r="H284" s="7" t="str">
        <f aca="false">IF(G284="","No",IF(OR(G284&lt;=0,G284&gt;5000000),"No","Yes"))</f>
        <v>No</v>
      </c>
      <c r="I284" s="8" t="n">
        <f aca="false">IFERROR(DATEVALUE('Raw_Data (Before)'!G284),"")</f>
        <v>45161</v>
      </c>
      <c r="J284" s="7" t="str">
        <f aca="false">IF(I284="","No","Yes")</f>
        <v>Yes</v>
      </c>
      <c r="K284" s="7" t="str">
        <f aca="false">IF(OR(ISERROR(FIND("@",'Raw_Data (Before)'!H284)),ISNUMBER(FIND("@@",'Raw_Data (Before)'!H284)),ISNUMBER(FIND(" ",'Raw_Data (Before)'!H284)),ISERROR(FIND(".",'Raw_Data (Before)'!H284,FIND("@",'Raw_Data (Before)'!H284)))),"No","Yes")</f>
        <v>Yes</v>
      </c>
      <c r="L284" s="7" t="str">
        <f aca="false">IFERROR(INDEX(Lookup_Tables!$H$5:$H$9,MATCH(UPPER(TRIM('Raw_Data (Before)'!I284)),Lookup_Tables!$G$5:$G$9,0)),"UNMAPPED")</f>
        <v>Active</v>
      </c>
      <c r="M284" s="7" t="str">
        <f aca="false">IF(COUNTIF('Raw_Data (Before)'!$A$5:$A$424,A284)&gt;1,"YES","No")</f>
        <v>No</v>
      </c>
      <c r="N284" s="7" t="str">
        <f aca="false">IF(OR(C284="UNMAPPED",D284="UNMAPPED",F284="No",H284="No",J284="No",K284="No",L284="UNMAPPED",M284="YES"),"NEEDS REVIEW","OK")</f>
        <v>NEEDS REVIEW</v>
      </c>
    </row>
    <row r="285" customFormat="false" ht="15" hidden="false" customHeight="false" outlineLevel="0" collapsed="false">
      <c r="A285" s="7" t="str">
        <f aca="false">'Raw_Data (Before)'!A285</f>
        <v>EMP0372</v>
      </c>
      <c r="B285" s="7" t="str">
        <f aca="false">PROPER(TRIM('Raw_Data (Before)'!B285))</f>
        <v>Ruth Uche</v>
      </c>
      <c r="C285" s="7" t="str">
        <f aca="false">IFERROR(INDEX(Lookup_Tables!$B$5:$B$24,MATCH(UPPER(TRIM('Raw_Data (Before)'!C285)),Lookup_Tables!$A$5:$A$24,0)),"UNMAPPED")</f>
        <v>Sales</v>
      </c>
      <c r="D285" s="7" t="str">
        <f aca="false">IFERROR(INDEX(Lookup_Tables!$E$5:$E$8,MATCH(UPPER(TRIM('Raw_Data (Before)'!D285)),Lookup_Tables!$D$5:$D$8,0)),"UNMAPPED")</f>
        <v>Male</v>
      </c>
      <c r="E285" s="7" t="n">
        <f aca="false">'Raw_Data (Before)'!E285</f>
        <v>36</v>
      </c>
      <c r="F285" s="7" t="str">
        <f aca="false">IF(E285="","No",IF(OR(E285&lt;16,E285&gt;75),"No","Yes"))</f>
        <v>Yes</v>
      </c>
      <c r="G285" s="7" t="n">
        <f aca="false">IFERROR(VALUE(SUBSTITUTE(SUBSTITUTE('Raw_Data (Before)'!F285,"₦",""),",","")),"")</f>
        <v>78156300</v>
      </c>
      <c r="H285" s="7" t="str">
        <f aca="false">IF(G285="","No",IF(OR(G285&lt;=0,G285&gt;5000000),"No","Yes"))</f>
        <v>No</v>
      </c>
      <c r="I285" s="8" t="n">
        <f aca="false">IFERROR(DATEVALUE('Raw_Data (Before)'!G285),"")</f>
        <v>45210</v>
      </c>
      <c r="J285" s="7" t="str">
        <f aca="false">IF(I285="","No","Yes")</f>
        <v>Yes</v>
      </c>
      <c r="K285" s="7" t="str">
        <f aca="false">IF(OR(ISERROR(FIND("@",'Raw_Data (Before)'!H285)),ISNUMBER(FIND("@@",'Raw_Data (Before)'!H285)),ISNUMBER(FIND(" ",'Raw_Data (Before)'!H285)),ISERROR(FIND(".",'Raw_Data (Before)'!H285,FIND("@",'Raw_Data (Before)'!H285)))),"No","Yes")</f>
        <v>Yes</v>
      </c>
      <c r="L285" s="7" t="str">
        <f aca="false">IFERROR(INDEX(Lookup_Tables!$H$5:$H$9,MATCH(UPPER(TRIM('Raw_Data (Before)'!I285)),Lookup_Tables!$G$5:$G$9,0)),"UNMAPPED")</f>
        <v>Active</v>
      </c>
      <c r="M285" s="7" t="str">
        <f aca="false">IF(COUNTIF('Raw_Data (Before)'!$A$5:$A$424,A285)&gt;1,"YES","No")</f>
        <v>No</v>
      </c>
      <c r="N285" s="7" t="str">
        <f aca="false">IF(OR(C285="UNMAPPED",D285="UNMAPPED",F285="No",H285="No",J285="No",K285="No",L285="UNMAPPED",M285="YES"),"NEEDS REVIEW","OK")</f>
        <v>NEEDS REVIEW</v>
      </c>
    </row>
    <row r="286" customFormat="false" ht="15" hidden="false" customHeight="false" outlineLevel="0" collapsed="false">
      <c r="A286" s="7" t="str">
        <f aca="false">'Raw_Data (Before)'!A286</f>
        <v>EMP0237</v>
      </c>
      <c r="B286" s="7" t="str">
        <f aca="false">PROPER(TRIM('Raw_Data (Before)'!B286))</f>
        <v>Kemi Nwosu</v>
      </c>
      <c r="C286" s="7" t="str">
        <f aca="false">IFERROR(INDEX(Lookup_Tables!$B$5:$B$24,MATCH(UPPER(TRIM('Raw_Data (Before)'!C286)),Lookup_Tables!$A$5:$A$24,0)),"UNMAPPED")</f>
        <v>Finance</v>
      </c>
      <c r="D286" s="7" t="str">
        <f aca="false">IFERROR(INDEX(Lookup_Tables!$E$5:$E$8,MATCH(UPPER(TRIM('Raw_Data (Before)'!D286)),Lookup_Tables!$D$5:$D$8,0)),"UNMAPPED")</f>
        <v>Male</v>
      </c>
      <c r="E286" s="7" t="n">
        <f aca="false">'Raw_Data (Before)'!E286</f>
        <v>30</v>
      </c>
      <c r="F286" s="7" t="str">
        <f aca="false">IF(E286="","No",IF(OR(E286&lt;16,E286&gt;75),"No","Yes"))</f>
        <v>Yes</v>
      </c>
      <c r="G286" s="7" t="n">
        <f aca="false">IFERROR(VALUE(SUBSTITUTE(SUBSTITUTE('Raw_Data (Before)'!F286,"₦",""),",","")),"")</f>
        <v>463493</v>
      </c>
      <c r="H286" s="7" t="str">
        <f aca="false">IF(G286="","No",IF(OR(G286&lt;=0,G286&gt;5000000),"No","Yes"))</f>
        <v>Yes</v>
      </c>
      <c r="I286" s="8" t="n">
        <f aca="false">IFERROR(DATEVALUE('Raw_Data (Before)'!G286),"")</f>
        <v>45789</v>
      </c>
      <c r="J286" s="7" t="str">
        <f aca="false">IF(I286="","No","Yes")</f>
        <v>Yes</v>
      </c>
      <c r="K286" s="7" t="str">
        <f aca="false">IF(OR(ISERROR(FIND("@",'Raw_Data (Before)'!H286)),ISNUMBER(FIND("@@",'Raw_Data (Before)'!H286)),ISNUMBER(FIND(" ",'Raw_Data (Before)'!H286)),ISERROR(FIND(".",'Raw_Data (Before)'!H286,FIND("@",'Raw_Data (Before)'!H286)))),"No","Yes")</f>
        <v>Yes</v>
      </c>
      <c r="L286" s="7" t="str">
        <f aca="false">IFERROR(INDEX(Lookup_Tables!$H$5:$H$9,MATCH(UPPER(TRIM('Raw_Data (Before)'!I286)),Lookup_Tables!$G$5:$G$9,0)),"UNMAPPED")</f>
        <v>Active</v>
      </c>
      <c r="M286" s="7" t="str">
        <f aca="false">IF(COUNTIF('Raw_Data (Before)'!$A$5:$A$424,A286)&gt;1,"YES","No")</f>
        <v>No</v>
      </c>
      <c r="N286" s="7" t="str">
        <f aca="false">IF(OR(C286="UNMAPPED",D286="UNMAPPED",F286="No",H286="No",J286="No",K286="No",L286="UNMAPPED",M286="YES"),"NEEDS REVIEW","OK")</f>
        <v>OK</v>
      </c>
    </row>
    <row r="287" customFormat="false" ht="15" hidden="false" customHeight="false" outlineLevel="0" collapsed="false">
      <c r="A287" s="7" t="str">
        <f aca="false">'Raw_Data (Before)'!A287</f>
        <v>EMP0189</v>
      </c>
      <c r="B287" s="7" t="str">
        <f aca="false">PROPER(TRIM('Raw_Data (Before)'!B287))</f>
        <v>Aisha Umeh</v>
      </c>
      <c r="C287" s="7" t="str">
        <f aca="false">IFERROR(INDEX(Lookup_Tables!$B$5:$B$24,MATCH(UPPER(TRIM('Raw_Data (Before)'!C287)),Lookup_Tables!$A$5:$A$24,0)),"UNMAPPED")</f>
        <v>Sales</v>
      </c>
      <c r="D287" s="7" t="str">
        <f aca="false">IFERROR(INDEX(Lookup_Tables!$E$5:$E$8,MATCH(UPPER(TRIM('Raw_Data (Before)'!D287)),Lookup_Tables!$D$5:$D$8,0)),"UNMAPPED")</f>
        <v>Male</v>
      </c>
      <c r="E287" s="7" t="n">
        <f aca="false">'Raw_Data (Before)'!E287</f>
        <v>210</v>
      </c>
      <c r="F287" s="7" t="str">
        <f aca="false">IF(E287="","No",IF(OR(E287&lt;16,E287&gt;75),"No","Yes"))</f>
        <v>No</v>
      </c>
      <c r="G287" s="7" t="n">
        <f aca="false">IFERROR(VALUE(SUBSTITUTE(SUBSTITUTE('Raw_Data (Before)'!F287,"₦",""),",","")),"")</f>
        <v>675082</v>
      </c>
      <c r="H287" s="7" t="str">
        <f aca="false">IF(G287="","No",IF(OR(G287&lt;=0,G287&gt;5000000),"No","Yes"))</f>
        <v>Yes</v>
      </c>
      <c r="I287" s="8" t="n">
        <f aca="false">IFERROR(DATEVALUE('Raw_Data (Before)'!G287),"")</f>
        <v>44652</v>
      </c>
      <c r="J287" s="7" t="str">
        <f aca="false">IF(I287="","No","Yes")</f>
        <v>Yes</v>
      </c>
      <c r="K287" s="7" t="str">
        <f aca="false">IF(OR(ISERROR(FIND("@",'Raw_Data (Before)'!H287)),ISNUMBER(FIND("@@",'Raw_Data (Before)'!H287)),ISNUMBER(FIND(" ",'Raw_Data (Before)'!H287)),ISERROR(FIND(".",'Raw_Data (Before)'!H287,FIND("@",'Raw_Data (Before)'!H287)))),"No","Yes")</f>
        <v>Yes</v>
      </c>
      <c r="L287" s="7" t="str">
        <f aca="false">IFERROR(INDEX(Lookup_Tables!$H$5:$H$9,MATCH(UPPER(TRIM('Raw_Data (Before)'!I287)),Lookup_Tables!$G$5:$G$9,0)),"UNMAPPED")</f>
        <v>Inactive</v>
      </c>
      <c r="M287" s="7" t="str">
        <f aca="false">IF(COUNTIF('Raw_Data (Before)'!$A$5:$A$424,A287)&gt;1,"YES","No")</f>
        <v>No</v>
      </c>
      <c r="N287" s="7" t="str">
        <f aca="false">IF(OR(C287="UNMAPPED",D287="UNMAPPED",F287="No",H287="No",J287="No",K287="No",L287="UNMAPPED",M287="YES"),"NEEDS REVIEW","OK")</f>
        <v>NEEDS REVIEW</v>
      </c>
    </row>
    <row r="288" customFormat="false" ht="15" hidden="false" customHeight="false" outlineLevel="0" collapsed="false">
      <c r="A288" s="7" t="str">
        <f aca="false">'Raw_Data (Before)'!A288</f>
        <v>EMP0315</v>
      </c>
      <c r="B288" s="7" t="str">
        <f aca="false">PROPER(TRIM('Raw_Data (Before)'!B288))</f>
        <v>Samuel Ajayi</v>
      </c>
      <c r="C288" s="7" t="str">
        <f aca="false">IFERROR(INDEX(Lookup_Tables!$B$5:$B$24,MATCH(UPPER(TRIM('Raw_Data (Before)'!C288)),Lookup_Tables!$A$5:$A$24,0)),"UNMAPPED")</f>
        <v>HR</v>
      </c>
      <c r="D288" s="7" t="str">
        <f aca="false">IFERROR(INDEX(Lookup_Tables!$E$5:$E$8,MATCH(UPPER(TRIM('Raw_Data (Before)'!D288)),Lookup_Tables!$D$5:$D$8,0)),"UNMAPPED")</f>
        <v>Female</v>
      </c>
      <c r="E288" s="7" t="n">
        <f aca="false">'Raw_Data (Before)'!E288</f>
        <v>41</v>
      </c>
      <c r="F288" s="7" t="str">
        <f aca="false">IF(E288="","No",IF(OR(E288&lt;16,E288&gt;75),"No","Yes"))</f>
        <v>Yes</v>
      </c>
      <c r="G288" s="7" t="n">
        <f aca="false">IFERROR(VALUE(SUBSTITUTE(SUBSTITUTE('Raw_Data (Before)'!F288,"₦",""),",","")),"")</f>
        <v>918438</v>
      </c>
      <c r="H288" s="7" t="str">
        <f aca="false">IF(G288="","No",IF(OR(G288&lt;=0,G288&gt;5000000),"No","Yes"))</f>
        <v>Yes</v>
      </c>
      <c r="I288" s="8" t="n">
        <f aca="false">IFERROR(DATEVALUE('Raw_Data (Before)'!G288),"")</f>
        <v>45657</v>
      </c>
      <c r="J288" s="7" t="str">
        <f aca="false">IF(I288="","No","Yes")</f>
        <v>Yes</v>
      </c>
      <c r="K288" s="7" t="str">
        <f aca="false">IF(OR(ISERROR(FIND("@",'Raw_Data (Before)'!H288)),ISNUMBER(FIND("@@",'Raw_Data (Before)'!H288)),ISNUMBER(FIND(" ",'Raw_Data (Before)'!H288)),ISERROR(FIND(".",'Raw_Data (Before)'!H288,FIND("@",'Raw_Data (Before)'!H288)))),"No","Yes")</f>
        <v>Yes</v>
      </c>
      <c r="L288" s="7" t="str">
        <f aca="false">IFERROR(INDEX(Lookup_Tables!$H$5:$H$9,MATCH(UPPER(TRIM('Raw_Data (Before)'!I288)),Lookup_Tables!$G$5:$G$9,0)),"UNMAPPED")</f>
        <v>Active</v>
      </c>
      <c r="M288" s="7" t="str">
        <f aca="false">IF(COUNTIF('Raw_Data (Before)'!$A$5:$A$424,A288)&gt;1,"YES","No")</f>
        <v>YES</v>
      </c>
      <c r="N288" s="7" t="str">
        <f aca="false">IF(OR(C288="UNMAPPED",D288="UNMAPPED",F288="No",H288="No",J288="No",K288="No",L288="UNMAPPED",M288="YES"),"NEEDS REVIEW","OK")</f>
        <v>NEEDS REVIEW</v>
      </c>
    </row>
    <row r="289" customFormat="false" ht="15" hidden="false" customHeight="false" outlineLevel="0" collapsed="false">
      <c r="A289" s="7" t="str">
        <f aca="false">'Raw_Data (Before)'!A289</f>
        <v>EMP0112</v>
      </c>
      <c r="B289" s="7" t="str">
        <f aca="false">PROPER(TRIM('Raw_Data (Before)'!B289))</f>
        <v>Gabriel Eze</v>
      </c>
      <c r="C289" s="7" t="str">
        <f aca="false">IFERROR(INDEX(Lookup_Tables!$B$5:$B$24,MATCH(UPPER(TRIM('Raw_Data (Before)'!C289)),Lookup_Tables!$A$5:$A$24,0)),"UNMAPPED")</f>
        <v>Customer Service</v>
      </c>
      <c r="D289" s="7" t="str">
        <f aca="false">IFERROR(INDEX(Lookup_Tables!$E$5:$E$8,MATCH(UPPER(TRIM('Raw_Data (Before)'!D289)),Lookup_Tables!$D$5:$D$8,0)),"UNMAPPED")</f>
        <v>Female</v>
      </c>
      <c r="E289" s="7" t="n">
        <f aca="false">'Raw_Data (Before)'!E289</f>
        <v>22</v>
      </c>
      <c r="F289" s="7" t="str">
        <f aca="false">IF(E289="","No",IF(OR(E289&lt;16,E289&gt;75),"No","Yes"))</f>
        <v>Yes</v>
      </c>
      <c r="G289" s="7" t="n">
        <f aca="false">IFERROR(VALUE(SUBSTITUTE(SUBSTITUTE('Raw_Data (Before)'!F289,"₦",""),",","")),"")</f>
        <v>101558</v>
      </c>
      <c r="H289" s="7" t="str">
        <f aca="false">IF(G289="","No",IF(OR(G289&lt;=0,G289&gt;5000000),"No","Yes"))</f>
        <v>Yes</v>
      </c>
      <c r="I289" s="8" t="n">
        <f aca="false">IFERROR(DATEVALUE('Raw_Data (Before)'!G289),"")</f>
        <v>43840</v>
      </c>
      <c r="J289" s="7" t="str">
        <f aca="false">IF(I289="","No","Yes")</f>
        <v>Yes</v>
      </c>
      <c r="K289" s="7" t="str">
        <f aca="false">IF(OR(ISERROR(FIND("@",'Raw_Data (Before)'!H289)),ISNUMBER(FIND("@@",'Raw_Data (Before)'!H289)),ISNUMBER(FIND(" ",'Raw_Data (Before)'!H289)),ISERROR(FIND(".",'Raw_Data (Before)'!H289,FIND("@",'Raw_Data (Before)'!H289)))),"No","Yes")</f>
        <v>Yes</v>
      </c>
      <c r="L289" s="7" t="str">
        <f aca="false">IFERROR(INDEX(Lookup_Tables!$H$5:$H$9,MATCH(UPPER(TRIM('Raw_Data (Before)'!I289)),Lookup_Tables!$G$5:$G$9,0)),"UNMAPPED")</f>
        <v>Active</v>
      </c>
      <c r="M289" s="7" t="str">
        <f aca="false">IF(COUNTIF('Raw_Data (Before)'!$A$5:$A$424,A289)&gt;1,"YES","No")</f>
        <v>No</v>
      </c>
      <c r="N289" s="7" t="str">
        <f aca="false">IF(OR(C289="UNMAPPED",D289="UNMAPPED",F289="No",H289="No",J289="No",K289="No",L289="UNMAPPED",M289="YES"),"NEEDS REVIEW","OK")</f>
        <v>OK</v>
      </c>
    </row>
    <row r="290" customFormat="false" ht="15" hidden="false" customHeight="false" outlineLevel="0" collapsed="false">
      <c r="A290" s="7" t="str">
        <f aca="false">'Raw_Data (Before)'!A290</f>
        <v>EMP0049</v>
      </c>
      <c r="B290" s="7" t="str">
        <f aca="false">PROPER(TRIM('Raw_Data (Before)'!B290))</f>
        <v>Fatima Adeyemi</v>
      </c>
      <c r="C290" s="7" t="str">
        <f aca="false">IFERROR(INDEX(Lookup_Tables!$B$5:$B$24,MATCH(UPPER(TRIM('Raw_Data (Before)'!C290)),Lookup_Tables!$A$5:$A$24,0)),"UNMAPPED")</f>
        <v>HR</v>
      </c>
      <c r="D290" s="7" t="str">
        <f aca="false">IFERROR(INDEX(Lookup_Tables!$E$5:$E$8,MATCH(UPPER(TRIM('Raw_Data (Before)'!D290)),Lookup_Tables!$D$5:$D$8,0)),"UNMAPPED")</f>
        <v>Female</v>
      </c>
      <c r="E290" s="7" t="n">
        <f aca="false">'Raw_Data (Before)'!E290</f>
        <v>35</v>
      </c>
      <c r="F290" s="7" t="str">
        <f aca="false">IF(E290="","No",IF(OR(E290&lt;16,E290&gt;75),"No","Yes"))</f>
        <v>Yes</v>
      </c>
      <c r="G290" s="7" t="n">
        <f aca="false">IFERROR(VALUE(SUBSTITUTE(SUBSTITUTE('Raw_Data (Before)'!F290,"₦",""),",","")),"")</f>
        <v>241877</v>
      </c>
      <c r="H290" s="7" t="str">
        <f aca="false">IF(G290="","No",IF(OR(G290&lt;=0,G290&gt;5000000),"No","Yes"))</f>
        <v>Yes</v>
      </c>
      <c r="I290" s="8" t="str">
        <f aca="false">IFERROR(DATEVALUE('Raw_Data (Before)'!G290),"")</f>
        <v/>
      </c>
      <c r="J290" s="7" t="str">
        <f aca="false">IF(I290="","No","Yes")</f>
        <v>No</v>
      </c>
      <c r="K290" s="7" t="str">
        <f aca="false">IF(OR(ISERROR(FIND("@",'Raw_Data (Before)'!H290)),ISNUMBER(FIND("@@",'Raw_Data (Before)'!H290)),ISNUMBER(FIND(" ",'Raw_Data (Before)'!H290)),ISERROR(FIND(".",'Raw_Data (Before)'!H290,FIND("@",'Raw_Data (Before)'!H290)))),"No","Yes")</f>
        <v>Yes</v>
      </c>
      <c r="L290" s="7" t="str">
        <f aca="false">IFERROR(INDEX(Lookup_Tables!$H$5:$H$9,MATCH(UPPER(TRIM('Raw_Data (Before)'!I290)),Lookup_Tables!$G$5:$G$9,0)),"UNMAPPED")</f>
        <v>Active</v>
      </c>
      <c r="M290" s="7" t="str">
        <f aca="false">IF(COUNTIF('Raw_Data (Before)'!$A$5:$A$424,A290)&gt;1,"YES","No")</f>
        <v>No</v>
      </c>
      <c r="N290" s="7" t="str">
        <f aca="false">IF(OR(C290="UNMAPPED",D290="UNMAPPED",F290="No",H290="No",J290="No",K290="No",L290="UNMAPPED",M290="YES"),"NEEDS REVIEW","OK")</f>
        <v>NEEDS REVIEW</v>
      </c>
    </row>
    <row r="291" customFormat="false" ht="15" hidden="false" customHeight="false" outlineLevel="0" collapsed="false">
      <c r="A291" s="7" t="str">
        <f aca="false">'Raw_Data (Before)'!A291</f>
        <v>EMP0115</v>
      </c>
      <c r="B291" s="7" t="str">
        <f aca="false">PROPER(TRIM('Raw_Data (Before)'!B291))</f>
        <v>Mary Nwosu</v>
      </c>
      <c r="C291" s="7" t="str">
        <f aca="false">IFERROR(INDEX(Lookup_Tables!$B$5:$B$24,MATCH(UPPER(TRIM('Raw_Data (Before)'!C291)),Lookup_Tables!$A$5:$A$24,0)),"UNMAPPED")</f>
        <v>Marketing</v>
      </c>
      <c r="D291" s="7" t="str">
        <f aca="false">IFERROR(INDEX(Lookup_Tables!$E$5:$E$8,MATCH(UPPER(TRIM('Raw_Data (Before)'!D291)),Lookup_Tables!$D$5:$D$8,0)),"UNMAPPED")</f>
        <v>Male</v>
      </c>
      <c r="E291" s="7" t="n">
        <f aca="false">'Raw_Data (Before)'!E291</f>
        <v>26</v>
      </c>
      <c r="F291" s="7" t="str">
        <f aca="false">IF(E291="","No",IF(OR(E291&lt;16,E291&gt;75),"No","Yes"))</f>
        <v>Yes</v>
      </c>
      <c r="G291" s="7" t="n">
        <f aca="false">IFERROR(VALUE(SUBSTITUTE(SUBSTITUTE('Raw_Data (Before)'!F291,"₦",""),",","")),"")</f>
        <v>902309</v>
      </c>
      <c r="H291" s="7" t="str">
        <f aca="false">IF(G291="","No",IF(OR(G291&lt;=0,G291&gt;5000000),"No","Yes"))</f>
        <v>Yes</v>
      </c>
      <c r="I291" s="8" t="n">
        <f aca="false">IFERROR(DATEVALUE('Raw_Data (Before)'!G291),"")</f>
        <v>43623</v>
      </c>
      <c r="J291" s="7" t="str">
        <f aca="false">IF(I291="","No","Yes")</f>
        <v>Yes</v>
      </c>
      <c r="K291" s="7" t="str">
        <f aca="false">IF(OR(ISERROR(FIND("@",'Raw_Data (Before)'!H291)),ISNUMBER(FIND("@@",'Raw_Data (Before)'!H291)),ISNUMBER(FIND(" ",'Raw_Data (Before)'!H291)),ISERROR(FIND(".",'Raw_Data (Before)'!H291,FIND("@",'Raw_Data (Before)'!H291)))),"No","Yes")</f>
        <v>Yes</v>
      </c>
      <c r="L291" s="7" t="str">
        <f aca="false">IFERROR(INDEX(Lookup_Tables!$H$5:$H$9,MATCH(UPPER(TRIM('Raw_Data (Before)'!I291)),Lookup_Tables!$G$5:$G$9,0)),"UNMAPPED")</f>
        <v>Active</v>
      </c>
      <c r="M291" s="7" t="str">
        <f aca="false">IF(COUNTIF('Raw_Data (Before)'!$A$5:$A$424,A291)&gt;1,"YES","No")</f>
        <v>No</v>
      </c>
      <c r="N291" s="7" t="str">
        <f aca="false">IF(OR(C291="UNMAPPED",D291="UNMAPPED",F291="No",H291="No",J291="No",K291="No",L291="UNMAPPED",M291="YES"),"NEEDS REVIEW","OK")</f>
        <v>OK</v>
      </c>
    </row>
    <row r="292" customFormat="false" ht="15" hidden="false" customHeight="false" outlineLevel="0" collapsed="false">
      <c r="A292" s="7" t="str">
        <f aca="false">'Raw_Data (Before)'!A292</f>
        <v>EMP0024</v>
      </c>
      <c r="B292" s="7" t="str">
        <f aca="false">PROPER(TRIM('Raw_Data (Before)'!B292))</f>
        <v>Victor Yakubu</v>
      </c>
      <c r="C292" s="7" t="str">
        <f aca="false">IFERROR(INDEX(Lookup_Tables!$B$5:$B$24,MATCH(UPPER(TRIM('Raw_Data (Before)'!C292)),Lookup_Tables!$A$5:$A$24,0)),"UNMAPPED")</f>
        <v>Finance</v>
      </c>
      <c r="D292" s="7" t="str">
        <f aca="false">IFERROR(INDEX(Lookup_Tables!$E$5:$E$8,MATCH(UPPER(TRIM('Raw_Data (Before)'!D292)),Lookup_Tables!$D$5:$D$8,0)),"UNMAPPED")</f>
        <v>Male</v>
      </c>
      <c r="E292" s="7" t="n">
        <f aca="false">'Raw_Data (Before)'!E292</f>
        <v>41</v>
      </c>
      <c r="F292" s="7" t="str">
        <f aca="false">IF(E292="","No",IF(OR(E292&lt;16,E292&gt;75),"No","Yes"))</f>
        <v>Yes</v>
      </c>
      <c r="G292" s="7" t="n">
        <f aca="false">IFERROR(VALUE(SUBSTITUTE(SUBSTITUTE('Raw_Data (Before)'!F292,"₦",""),",","")),"")</f>
        <v>176672</v>
      </c>
      <c r="H292" s="7" t="str">
        <f aca="false">IF(G292="","No",IF(OR(G292&lt;=0,G292&gt;5000000),"No","Yes"))</f>
        <v>Yes</v>
      </c>
      <c r="I292" s="8" t="n">
        <f aca="false">IFERROR(DATEVALUE('Raw_Data (Before)'!G292),"")</f>
        <v>44490</v>
      </c>
      <c r="J292" s="7" t="str">
        <f aca="false">IF(I292="","No","Yes")</f>
        <v>Yes</v>
      </c>
      <c r="K292" s="7" t="str">
        <f aca="false">IF(OR(ISERROR(FIND("@",'Raw_Data (Before)'!H292)),ISNUMBER(FIND("@@",'Raw_Data (Before)'!H292)),ISNUMBER(FIND(" ",'Raw_Data (Before)'!H292)),ISERROR(FIND(".",'Raw_Data (Before)'!H292,FIND("@",'Raw_Data (Before)'!H292)))),"No","Yes")</f>
        <v>No</v>
      </c>
      <c r="L292" s="7" t="str">
        <f aca="false">IFERROR(INDEX(Lookup_Tables!$H$5:$H$9,MATCH(UPPER(TRIM('Raw_Data (Before)'!I292)),Lookup_Tables!$G$5:$G$9,0)),"UNMAPPED")</f>
        <v>Inactive</v>
      </c>
      <c r="M292" s="7" t="str">
        <f aca="false">IF(COUNTIF('Raw_Data (Before)'!$A$5:$A$424,A292)&gt;1,"YES","No")</f>
        <v>No</v>
      </c>
      <c r="N292" s="7" t="str">
        <f aca="false">IF(OR(C292="UNMAPPED",D292="UNMAPPED",F292="No",H292="No",J292="No",K292="No",L292="UNMAPPED",M292="YES"),"NEEDS REVIEW","OK")</f>
        <v>NEEDS REVIEW</v>
      </c>
    </row>
    <row r="293" customFormat="false" ht="15" hidden="false" customHeight="false" outlineLevel="0" collapsed="false">
      <c r="A293" s="7" t="str">
        <f aca="false">'Raw_Data (Before)'!A293</f>
        <v>EMP0203</v>
      </c>
      <c r="B293" s="7" t="str">
        <f aca="false">PROPER(TRIM('Raw_Data (Before)'!B293))</f>
        <v>James Eze</v>
      </c>
      <c r="C293" s="7" t="str">
        <f aca="false">IFERROR(INDEX(Lookup_Tables!$B$5:$B$24,MATCH(UPPER(TRIM('Raw_Data (Before)'!C293)),Lookup_Tables!$A$5:$A$24,0)),"UNMAPPED")</f>
        <v>Customer Service</v>
      </c>
      <c r="D293" s="7" t="str">
        <f aca="false">IFERROR(INDEX(Lookup_Tables!$E$5:$E$8,MATCH(UPPER(TRIM('Raw_Data (Before)'!D293)),Lookup_Tables!$D$5:$D$8,0)),"UNMAPPED")</f>
        <v>Male</v>
      </c>
      <c r="E293" s="7" t="n">
        <f aca="false">'Raw_Data (Before)'!E293</f>
        <v>36</v>
      </c>
      <c r="F293" s="7" t="str">
        <f aca="false">IF(E293="","No",IF(OR(E293&lt;16,E293&gt;75),"No","Yes"))</f>
        <v>Yes</v>
      </c>
      <c r="G293" s="7" t="n">
        <f aca="false">IFERROR(VALUE(SUBSTITUTE(SUBSTITUTE('Raw_Data (Before)'!F293,"₦",""),",","")),"")</f>
        <v>447452</v>
      </c>
      <c r="H293" s="7" t="str">
        <f aca="false">IF(G293="","No",IF(OR(G293&lt;=0,G293&gt;5000000),"No","Yes"))</f>
        <v>Yes</v>
      </c>
      <c r="I293" s="8" t="n">
        <f aca="false">IFERROR(DATEVALUE('Raw_Data (Before)'!G293),"")</f>
        <v>44586</v>
      </c>
      <c r="J293" s="7" t="str">
        <f aca="false">IF(I293="","No","Yes")</f>
        <v>Yes</v>
      </c>
      <c r="K293" s="7" t="str">
        <f aca="false">IF(OR(ISERROR(FIND("@",'Raw_Data (Before)'!H293)),ISNUMBER(FIND("@@",'Raw_Data (Before)'!H293)),ISNUMBER(FIND(" ",'Raw_Data (Before)'!H293)),ISERROR(FIND(".",'Raw_Data (Before)'!H293,FIND("@",'Raw_Data (Before)'!H293)))),"No","Yes")</f>
        <v>Yes</v>
      </c>
      <c r="L293" s="7" t="str">
        <f aca="false">IFERROR(INDEX(Lookup_Tables!$H$5:$H$9,MATCH(UPPER(TRIM('Raw_Data (Before)'!I293)),Lookup_Tables!$G$5:$G$9,0)),"UNMAPPED")</f>
        <v>Active</v>
      </c>
      <c r="M293" s="7" t="str">
        <f aca="false">IF(COUNTIF('Raw_Data (Before)'!$A$5:$A$424,A293)&gt;1,"YES","No")</f>
        <v>No</v>
      </c>
      <c r="N293" s="7" t="str">
        <f aca="false">IF(OR(C293="UNMAPPED",D293="UNMAPPED",F293="No",H293="No",J293="No",K293="No",L293="UNMAPPED",M293="YES"),"NEEDS REVIEW","OK")</f>
        <v>OK</v>
      </c>
    </row>
    <row r="294" customFormat="false" ht="15" hidden="false" customHeight="false" outlineLevel="0" collapsed="false">
      <c r="A294" s="7" t="str">
        <f aca="false">'Raw_Data (Before)'!A294</f>
        <v>EMP0157</v>
      </c>
      <c r="B294" s="7" t="str">
        <f aca="false">PROPER(TRIM('Raw_Data (Before)'!B294))</f>
        <v>Ahmed Chukwu</v>
      </c>
      <c r="C294" s="7" t="str">
        <f aca="false">IFERROR(INDEX(Lookup_Tables!$B$5:$B$24,MATCH(UPPER(TRIM('Raw_Data (Before)'!C294)),Lookup_Tables!$A$5:$A$24,0)),"UNMAPPED")</f>
        <v>Operations</v>
      </c>
      <c r="D294" s="7" t="str">
        <f aca="false">IFERROR(INDEX(Lookup_Tables!$E$5:$E$8,MATCH(UPPER(TRIM('Raw_Data (Before)'!D294)),Lookup_Tables!$D$5:$D$8,0)),"UNMAPPED")</f>
        <v>Female</v>
      </c>
      <c r="E294" s="7" t="n">
        <f aca="false">'Raw_Data (Before)'!E294</f>
        <v>999</v>
      </c>
      <c r="F294" s="7" t="str">
        <f aca="false">IF(E294="","No",IF(OR(E294&lt;16,E294&gt;75),"No","Yes"))</f>
        <v>No</v>
      </c>
      <c r="G294" s="7" t="n">
        <f aca="false">IFERROR(VALUE(SUBSTITUTE(SUBSTITUTE('Raw_Data (Before)'!F294,"₦",""),",","")),"")</f>
        <v>479165</v>
      </c>
      <c r="H294" s="7" t="str">
        <f aca="false">IF(G294="","No",IF(OR(G294&lt;=0,G294&gt;5000000),"No","Yes"))</f>
        <v>Yes</v>
      </c>
      <c r="I294" s="8" t="n">
        <f aca="false">IFERROR(DATEVALUE('Raw_Data (Before)'!G294),"")</f>
        <v>45756</v>
      </c>
      <c r="J294" s="7" t="str">
        <f aca="false">IF(I294="","No","Yes")</f>
        <v>Yes</v>
      </c>
      <c r="K294" s="7" t="str">
        <f aca="false">IF(OR(ISERROR(FIND("@",'Raw_Data (Before)'!H294)),ISNUMBER(FIND("@@",'Raw_Data (Before)'!H294)),ISNUMBER(FIND(" ",'Raw_Data (Before)'!H294)),ISERROR(FIND(".",'Raw_Data (Before)'!H294,FIND("@",'Raw_Data (Before)'!H294)))),"No","Yes")</f>
        <v>Yes</v>
      </c>
      <c r="L294" s="7" t="str">
        <f aca="false">IFERROR(INDEX(Lookup_Tables!$H$5:$H$9,MATCH(UPPER(TRIM('Raw_Data (Before)'!I294)),Lookup_Tables!$G$5:$G$9,0)),"UNMAPPED")</f>
        <v>Active</v>
      </c>
      <c r="M294" s="7" t="str">
        <f aca="false">IF(COUNTIF('Raw_Data (Before)'!$A$5:$A$424,A294)&gt;1,"YES","No")</f>
        <v>No</v>
      </c>
      <c r="N294" s="7" t="str">
        <f aca="false">IF(OR(C294="UNMAPPED",D294="UNMAPPED",F294="No",H294="No",J294="No",K294="No",L294="UNMAPPED",M294="YES"),"NEEDS REVIEW","OK")</f>
        <v>NEEDS REVIEW</v>
      </c>
    </row>
    <row r="295" customFormat="false" ht="15" hidden="false" customHeight="false" outlineLevel="0" collapsed="false">
      <c r="A295" s="7" t="str">
        <f aca="false">'Raw_Data (Before)'!A295</f>
        <v>EMP0380</v>
      </c>
      <c r="B295" s="7" t="str">
        <f aca="false">PROPER(TRIM('Raw_Data (Before)'!B295))</f>
        <v>Peter Obi</v>
      </c>
      <c r="C295" s="7" t="str">
        <f aca="false">IFERROR(INDEX(Lookup_Tables!$B$5:$B$24,MATCH(UPPER(TRIM('Raw_Data (Before)'!C295)),Lookup_Tables!$A$5:$A$24,0)),"UNMAPPED")</f>
        <v>Operations</v>
      </c>
      <c r="D295" s="7" t="str">
        <f aca="false">IFERROR(INDEX(Lookup_Tables!$E$5:$E$8,MATCH(UPPER(TRIM('Raw_Data (Before)'!D295)),Lookup_Tables!$D$5:$D$8,0)),"UNMAPPED")</f>
        <v>Female</v>
      </c>
      <c r="E295" s="7" t="n">
        <f aca="false">'Raw_Data (Before)'!E295</f>
        <v>0</v>
      </c>
      <c r="F295" s="7" t="str">
        <f aca="false">IF(E295="","No",IF(OR(E295&lt;16,E295&gt;75),"No","Yes"))</f>
        <v>No</v>
      </c>
      <c r="G295" s="7" t="n">
        <f aca="false">IFERROR(VALUE(SUBSTITUTE(SUBSTITUTE('Raw_Data (Before)'!F295,"₦",""),",","")),"")</f>
        <v>208369</v>
      </c>
      <c r="H295" s="7" t="str">
        <f aca="false">IF(G295="","No",IF(OR(G295&lt;=0,G295&gt;5000000),"No","Yes"))</f>
        <v>Yes</v>
      </c>
      <c r="I295" s="8" t="n">
        <f aca="false">IFERROR(DATEVALUE('Raw_Data (Before)'!G295),"")</f>
        <v>43780</v>
      </c>
      <c r="J295" s="7" t="str">
        <f aca="false">IF(I295="","No","Yes")</f>
        <v>Yes</v>
      </c>
      <c r="K295" s="7" t="str">
        <f aca="false">IF(OR(ISERROR(FIND("@",'Raw_Data (Before)'!H295)),ISNUMBER(FIND("@@",'Raw_Data (Before)'!H295)),ISNUMBER(FIND(" ",'Raw_Data (Before)'!H295)),ISERROR(FIND(".",'Raw_Data (Before)'!H295,FIND("@",'Raw_Data (Before)'!H295)))),"No","Yes")</f>
        <v>Yes</v>
      </c>
      <c r="L295" s="7" t="str">
        <f aca="false">IFERROR(INDEX(Lookup_Tables!$H$5:$H$9,MATCH(UPPER(TRIM('Raw_Data (Before)'!I295)),Lookup_Tables!$G$5:$G$9,0)),"UNMAPPED")</f>
        <v>Active</v>
      </c>
      <c r="M295" s="7" t="str">
        <f aca="false">IF(COUNTIF('Raw_Data (Before)'!$A$5:$A$424,A295)&gt;1,"YES","No")</f>
        <v>No</v>
      </c>
      <c r="N295" s="7" t="str">
        <f aca="false">IF(OR(C295="UNMAPPED",D295="UNMAPPED",F295="No",H295="No",J295="No",K295="No",L295="UNMAPPED",M295="YES"),"NEEDS REVIEW","OK")</f>
        <v>NEEDS REVIEW</v>
      </c>
    </row>
    <row r="296" customFormat="false" ht="15" hidden="false" customHeight="false" outlineLevel="0" collapsed="false">
      <c r="A296" s="7" t="str">
        <f aca="false">'Raw_Data (Before)'!A296</f>
        <v>EMP0127</v>
      </c>
      <c r="B296" s="7" t="str">
        <f aca="false">PROPER(TRIM('Raw_Data (Before)'!B296))</f>
        <v>John Abubakar</v>
      </c>
      <c r="C296" s="7" t="str">
        <f aca="false">IFERROR(INDEX(Lookup_Tables!$B$5:$B$24,MATCH(UPPER(TRIM('Raw_Data (Before)'!C296)),Lookup_Tables!$A$5:$A$24,0)),"UNMAPPED")</f>
        <v>HR</v>
      </c>
      <c r="D296" s="7" t="str">
        <f aca="false">IFERROR(INDEX(Lookup_Tables!$E$5:$E$8,MATCH(UPPER(TRIM('Raw_Data (Before)'!D296)),Lookup_Tables!$D$5:$D$8,0)),"UNMAPPED")</f>
        <v>Male</v>
      </c>
      <c r="E296" s="7" t="n">
        <f aca="false">'Raw_Data (Before)'!E296</f>
        <v>37</v>
      </c>
      <c r="F296" s="7" t="str">
        <f aca="false">IF(E296="","No",IF(OR(E296&lt;16,E296&gt;75),"No","Yes"))</f>
        <v>Yes</v>
      </c>
      <c r="G296" s="7" t="n">
        <f aca="false">IFERROR(VALUE(SUBSTITUTE(SUBSTITUTE('Raw_Data (Before)'!F296,"₦",""),",","")),"")</f>
        <v>627208</v>
      </c>
      <c r="H296" s="7" t="str">
        <f aca="false">IF(G296="","No",IF(OR(G296&lt;=0,G296&gt;5000000),"No","Yes"))</f>
        <v>Yes</v>
      </c>
      <c r="I296" s="8" t="n">
        <f aca="false">IFERROR(DATEVALUE('Raw_Data (Before)'!G296),"")</f>
        <v>44054</v>
      </c>
      <c r="J296" s="7" t="str">
        <f aca="false">IF(I296="","No","Yes")</f>
        <v>Yes</v>
      </c>
      <c r="K296" s="7" t="str">
        <f aca="false">IF(OR(ISERROR(FIND("@",'Raw_Data (Before)'!H296)),ISNUMBER(FIND("@@",'Raw_Data (Before)'!H296)),ISNUMBER(FIND(" ",'Raw_Data (Before)'!H296)),ISERROR(FIND(".",'Raw_Data (Before)'!H296,FIND("@",'Raw_Data (Before)'!H296)))),"No","Yes")</f>
        <v>Yes</v>
      </c>
      <c r="L296" s="7" t="str">
        <f aca="false">IFERROR(INDEX(Lookup_Tables!$H$5:$H$9,MATCH(UPPER(TRIM('Raw_Data (Before)'!I296)),Lookup_Tables!$G$5:$G$9,0)),"UNMAPPED")</f>
        <v>Active</v>
      </c>
      <c r="M296" s="7" t="str">
        <f aca="false">IF(COUNTIF('Raw_Data (Before)'!$A$5:$A$424,A296)&gt;1,"YES","No")</f>
        <v>No</v>
      </c>
      <c r="N296" s="7" t="str">
        <f aca="false">IF(OR(C296="UNMAPPED",D296="UNMAPPED",F296="No",H296="No",J296="No",K296="No",L296="UNMAPPED",M296="YES"),"NEEDS REVIEW","OK")</f>
        <v>OK</v>
      </c>
    </row>
    <row r="297" customFormat="false" ht="15" hidden="false" customHeight="false" outlineLevel="0" collapsed="false">
      <c r="A297" s="7" t="str">
        <f aca="false">'Raw_Data (Before)'!A297</f>
        <v>EMP0262</v>
      </c>
      <c r="B297" s="7" t="str">
        <f aca="false">PROPER(TRIM('Raw_Data (Before)'!B297))</f>
        <v>Emmanuel Adeyemi</v>
      </c>
      <c r="C297" s="7" t="str">
        <f aca="false">IFERROR(INDEX(Lookup_Tables!$B$5:$B$24,MATCH(UPPER(TRIM('Raw_Data (Before)'!C297)),Lookup_Tables!$A$5:$A$24,0)),"UNMAPPED")</f>
        <v>Marketing</v>
      </c>
      <c r="D297" s="7" t="str">
        <f aca="false">IFERROR(INDEX(Lookup_Tables!$E$5:$E$8,MATCH(UPPER(TRIM('Raw_Data (Before)'!D297)),Lookup_Tables!$D$5:$D$8,0)),"UNMAPPED")</f>
        <v>Female</v>
      </c>
      <c r="E297" s="7" t="n">
        <f aca="false">'Raw_Data (Before)'!E297</f>
        <v>45</v>
      </c>
      <c r="F297" s="7" t="str">
        <f aca="false">IF(E297="","No",IF(OR(E297&lt;16,E297&gt;75),"No","Yes"))</f>
        <v>Yes</v>
      </c>
      <c r="G297" s="7" t="n">
        <f aca="false">IFERROR(VALUE(SUBSTITUTE(SUBSTITUTE('Raw_Data (Before)'!F297,"₦",""),",","")),"")</f>
        <v>549482</v>
      </c>
      <c r="H297" s="7" t="str">
        <f aca="false">IF(G297="","No",IF(OR(G297&lt;=0,G297&gt;5000000),"No","Yes"))</f>
        <v>Yes</v>
      </c>
      <c r="I297" s="8" t="n">
        <f aca="false">IFERROR(DATEVALUE('Raw_Data (Before)'!G297),"")</f>
        <v>43334</v>
      </c>
      <c r="J297" s="7" t="str">
        <f aca="false">IF(I297="","No","Yes")</f>
        <v>Yes</v>
      </c>
      <c r="K297" s="7" t="str">
        <f aca="false">IF(OR(ISERROR(FIND("@",'Raw_Data (Before)'!H297)),ISNUMBER(FIND("@@",'Raw_Data (Before)'!H297)),ISNUMBER(FIND(" ",'Raw_Data (Before)'!H297)),ISERROR(FIND(".",'Raw_Data (Before)'!H297,FIND("@",'Raw_Data (Before)'!H297)))),"No","Yes")</f>
        <v>Yes</v>
      </c>
      <c r="L297" s="7" t="str">
        <f aca="false">IFERROR(INDEX(Lookup_Tables!$H$5:$H$9,MATCH(UPPER(TRIM('Raw_Data (Before)'!I297)),Lookup_Tables!$G$5:$G$9,0)),"UNMAPPED")</f>
        <v>Active</v>
      </c>
      <c r="M297" s="7" t="str">
        <f aca="false">IF(COUNTIF('Raw_Data (Before)'!$A$5:$A$424,A297)&gt;1,"YES","No")</f>
        <v>No</v>
      </c>
      <c r="N297" s="7" t="str">
        <f aca="false">IF(OR(C297="UNMAPPED",D297="UNMAPPED",F297="No",H297="No",J297="No",K297="No",L297="UNMAPPED",M297="YES"),"NEEDS REVIEW","OK")</f>
        <v>OK</v>
      </c>
    </row>
    <row r="298" customFormat="false" ht="15" hidden="false" customHeight="false" outlineLevel="0" collapsed="false">
      <c r="A298" s="7" t="str">
        <f aca="false">'Raw_Data (Before)'!A298</f>
        <v>EMP0139</v>
      </c>
      <c r="B298" s="7" t="str">
        <f aca="false">PROPER(TRIM('Raw_Data (Before)'!B298))</f>
        <v>Grace Okonkwo</v>
      </c>
      <c r="C298" s="7" t="str">
        <f aca="false">IFERROR(INDEX(Lookup_Tables!$B$5:$B$24,MATCH(UPPER(TRIM('Raw_Data (Before)'!C298)),Lookup_Tables!$A$5:$A$24,0)),"UNMAPPED")</f>
        <v>Customer Service</v>
      </c>
      <c r="D298" s="7" t="str">
        <f aca="false">IFERROR(INDEX(Lookup_Tables!$E$5:$E$8,MATCH(UPPER(TRIM('Raw_Data (Before)'!D298)),Lookup_Tables!$D$5:$D$8,0)),"UNMAPPED")</f>
        <v>Female</v>
      </c>
      <c r="E298" s="7" t="n">
        <f aca="false">'Raw_Data (Before)'!E298</f>
        <v>48</v>
      </c>
      <c r="F298" s="7" t="str">
        <f aca="false">IF(E298="","No",IF(OR(E298&lt;16,E298&gt;75),"No","Yes"))</f>
        <v>Yes</v>
      </c>
      <c r="G298" s="7" t="n">
        <f aca="false">IFERROR(VALUE(SUBSTITUTE(SUBSTITUTE('Raw_Data (Before)'!F298,"₦",""),",","")),"")</f>
        <v>122517</v>
      </c>
      <c r="H298" s="7" t="str">
        <f aca="false">IF(G298="","No",IF(OR(G298&lt;=0,G298&gt;5000000),"No","Yes"))</f>
        <v>Yes</v>
      </c>
      <c r="I298" s="8" t="n">
        <f aca="false">IFERROR(DATEVALUE('Raw_Data (Before)'!G298),"")</f>
        <v>45257</v>
      </c>
      <c r="J298" s="7" t="str">
        <f aca="false">IF(I298="","No","Yes")</f>
        <v>Yes</v>
      </c>
      <c r="K298" s="7" t="str">
        <f aca="false">IF(OR(ISERROR(FIND("@",'Raw_Data (Before)'!H298)),ISNUMBER(FIND("@@",'Raw_Data (Before)'!H298)),ISNUMBER(FIND(" ",'Raw_Data (Before)'!H298)),ISERROR(FIND(".",'Raw_Data (Before)'!H298,FIND("@",'Raw_Data (Before)'!H298)))),"No","Yes")</f>
        <v>Yes</v>
      </c>
      <c r="L298" s="7" t="str">
        <f aca="false">IFERROR(INDEX(Lookup_Tables!$H$5:$H$9,MATCH(UPPER(TRIM('Raw_Data (Before)'!I298)),Lookup_Tables!$G$5:$G$9,0)),"UNMAPPED")</f>
        <v>Active</v>
      </c>
      <c r="M298" s="7" t="str">
        <f aca="false">IF(COUNTIF('Raw_Data (Before)'!$A$5:$A$424,A298)&gt;1,"YES","No")</f>
        <v>No</v>
      </c>
      <c r="N298" s="7" t="str">
        <f aca="false">IF(OR(C298="UNMAPPED",D298="UNMAPPED",F298="No",H298="No",J298="No",K298="No",L298="UNMAPPED",M298="YES"),"NEEDS REVIEW","OK")</f>
        <v>OK</v>
      </c>
    </row>
    <row r="299" customFormat="false" ht="15" hidden="false" customHeight="false" outlineLevel="0" collapsed="false">
      <c r="A299" s="7" t="str">
        <f aca="false">'Raw_Data (Before)'!A299</f>
        <v>EMP0313</v>
      </c>
      <c r="B299" s="7" t="str">
        <f aca="false">PROPER(TRIM('Raw_Data (Before)'!B299))</f>
        <v>Joy Balogun</v>
      </c>
      <c r="C299" s="7" t="str">
        <f aca="false">IFERROR(INDEX(Lookup_Tables!$B$5:$B$24,MATCH(UPPER(TRIM('Raw_Data (Before)'!C299)),Lookup_Tables!$A$5:$A$24,0)),"UNMAPPED")</f>
        <v>Sales</v>
      </c>
      <c r="D299" s="7" t="str">
        <f aca="false">IFERROR(INDEX(Lookup_Tables!$E$5:$E$8,MATCH(UPPER(TRIM('Raw_Data (Before)'!D299)),Lookup_Tables!$D$5:$D$8,0)),"UNMAPPED")</f>
        <v>Female</v>
      </c>
      <c r="E299" s="7" t="n">
        <f aca="false">'Raw_Data (Before)'!E299</f>
        <v>32</v>
      </c>
      <c r="F299" s="7" t="str">
        <f aca="false">IF(E299="","No",IF(OR(E299&lt;16,E299&gt;75),"No","Yes"))</f>
        <v>Yes</v>
      </c>
      <c r="G299" s="7" t="n">
        <f aca="false">IFERROR(VALUE(SUBSTITUTE(SUBSTITUTE('Raw_Data (Before)'!F299,"₦",""),",","")),"")</f>
        <v>225093</v>
      </c>
      <c r="H299" s="7" t="str">
        <f aca="false">IF(G299="","No",IF(OR(G299&lt;=0,G299&gt;5000000),"No","Yes"))</f>
        <v>Yes</v>
      </c>
      <c r="I299" s="8" t="n">
        <f aca="false">IFERROR(DATEVALUE('Raw_Data (Before)'!G299),"")</f>
        <v>43389</v>
      </c>
      <c r="J299" s="7" t="str">
        <f aca="false">IF(I299="","No","Yes")</f>
        <v>Yes</v>
      </c>
      <c r="K299" s="7" t="str">
        <f aca="false">IF(OR(ISERROR(FIND("@",'Raw_Data (Before)'!H299)),ISNUMBER(FIND("@@",'Raw_Data (Before)'!H299)),ISNUMBER(FIND(" ",'Raw_Data (Before)'!H299)),ISERROR(FIND(".",'Raw_Data (Before)'!H299,FIND("@",'Raw_Data (Before)'!H299)))),"No","Yes")</f>
        <v>Yes</v>
      </c>
      <c r="L299" s="7" t="str">
        <f aca="false">IFERROR(INDEX(Lookup_Tables!$H$5:$H$9,MATCH(UPPER(TRIM('Raw_Data (Before)'!I299)),Lookup_Tables!$G$5:$G$9,0)),"UNMAPPED")</f>
        <v>Inactive</v>
      </c>
      <c r="M299" s="7" t="str">
        <f aca="false">IF(COUNTIF('Raw_Data (Before)'!$A$5:$A$424,A299)&gt;1,"YES","No")</f>
        <v>No</v>
      </c>
      <c r="N299" s="7" t="str">
        <f aca="false">IF(OR(C299="UNMAPPED",D299="UNMAPPED",F299="No",H299="No",J299="No",K299="No",L299="UNMAPPED",M299="YES"),"NEEDS REVIEW","OK")</f>
        <v>OK</v>
      </c>
    </row>
    <row r="300" customFormat="false" ht="15" hidden="false" customHeight="false" outlineLevel="0" collapsed="false">
      <c r="A300" s="7" t="str">
        <f aca="false">'Raw_Data (Before)'!A300</f>
        <v>EMP0317</v>
      </c>
      <c r="B300" s="7" t="str">
        <f aca="false">PROPER(TRIM('Raw_Data (Before)'!B300))</f>
        <v>Esther Yakubu</v>
      </c>
      <c r="C300" s="7" t="str">
        <f aca="false">IFERROR(INDEX(Lookup_Tables!$B$5:$B$24,MATCH(UPPER(TRIM('Raw_Data (Before)'!C300)),Lookup_Tables!$A$5:$A$24,0)),"UNMAPPED")</f>
        <v>Customer Service</v>
      </c>
      <c r="D300" s="7" t="str">
        <f aca="false">IFERROR(INDEX(Lookup_Tables!$E$5:$E$8,MATCH(UPPER(TRIM('Raw_Data (Before)'!D300)),Lookup_Tables!$D$5:$D$8,0)),"UNMAPPED")</f>
        <v>Male</v>
      </c>
      <c r="E300" s="7" t="n">
        <f aca="false">'Raw_Data (Before)'!E300</f>
        <v>46</v>
      </c>
      <c r="F300" s="7" t="str">
        <f aca="false">IF(E300="","No",IF(OR(E300&lt;16,E300&gt;75),"No","Yes"))</f>
        <v>Yes</v>
      </c>
      <c r="G300" s="7" t="n">
        <f aca="false">IFERROR(VALUE(SUBSTITUTE(SUBSTITUTE('Raw_Data (Before)'!F300,"₦",""),",","")),"")</f>
        <v>725904</v>
      </c>
      <c r="H300" s="7" t="str">
        <f aca="false">IF(G300="","No",IF(OR(G300&lt;=0,G300&gt;5000000),"No","Yes"))</f>
        <v>Yes</v>
      </c>
      <c r="I300" s="8" t="n">
        <f aca="false">IFERROR(DATEVALUE('Raw_Data (Before)'!G300),"")</f>
        <v>43712</v>
      </c>
      <c r="J300" s="7" t="str">
        <f aca="false">IF(I300="","No","Yes")</f>
        <v>Yes</v>
      </c>
      <c r="K300" s="7" t="str">
        <f aca="false">IF(OR(ISERROR(FIND("@",'Raw_Data (Before)'!H300)),ISNUMBER(FIND("@@",'Raw_Data (Before)'!H300)),ISNUMBER(FIND(" ",'Raw_Data (Before)'!H300)),ISERROR(FIND(".",'Raw_Data (Before)'!H300,FIND("@",'Raw_Data (Before)'!H300)))),"No","Yes")</f>
        <v>No</v>
      </c>
      <c r="L300" s="7" t="str">
        <f aca="false">IFERROR(INDEX(Lookup_Tables!$H$5:$H$9,MATCH(UPPER(TRIM('Raw_Data (Before)'!I300)),Lookup_Tables!$G$5:$G$9,0)),"UNMAPPED")</f>
        <v>Active</v>
      </c>
      <c r="M300" s="7" t="str">
        <f aca="false">IF(COUNTIF('Raw_Data (Before)'!$A$5:$A$424,A300)&gt;1,"YES","No")</f>
        <v>YES</v>
      </c>
      <c r="N300" s="7" t="str">
        <f aca="false">IF(OR(C300="UNMAPPED",D300="UNMAPPED",F300="No",H300="No",J300="No",K300="No",L300="UNMAPPED",M300="YES"),"NEEDS REVIEW","OK")</f>
        <v>NEEDS REVIEW</v>
      </c>
    </row>
    <row r="301" customFormat="false" ht="15" hidden="false" customHeight="false" outlineLevel="0" collapsed="false">
      <c r="A301" s="7" t="str">
        <f aca="false">'Raw_Data (Before)'!A301</f>
        <v>EMP0101</v>
      </c>
      <c r="B301" s="7" t="str">
        <f aca="false">PROPER(TRIM('Raw_Data (Before)'!B301))</f>
        <v>Aisha Ajayi</v>
      </c>
      <c r="C301" s="7" t="str">
        <f aca="false">IFERROR(INDEX(Lookup_Tables!$B$5:$B$24,MATCH(UPPER(TRIM('Raw_Data (Before)'!C301)),Lookup_Tables!$A$5:$A$24,0)),"UNMAPPED")</f>
        <v>Marketing</v>
      </c>
      <c r="D301" s="7" t="str">
        <f aca="false">IFERROR(INDEX(Lookup_Tables!$E$5:$E$8,MATCH(UPPER(TRIM('Raw_Data (Before)'!D301)),Lookup_Tables!$D$5:$D$8,0)),"UNMAPPED")</f>
        <v>Male</v>
      </c>
      <c r="E301" s="7" t="n">
        <f aca="false">'Raw_Data (Before)'!E301</f>
        <v>27</v>
      </c>
      <c r="F301" s="7" t="str">
        <f aca="false">IF(E301="","No",IF(OR(E301&lt;16,E301&gt;75),"No","Yes"))</f>
        <v>Yes</v>
      </c>
      <c r="G301" s="7" t="n">
        <f aca="false">IFERROR(VALUE(SUBSTITUTE(SUBSTITUTE('Raw_Data (Before)'!F301,"₦",""),",","")),"")</f>
        <v>519961</v>
      </c>
      <c r="H301" s="7" t="str">
        <f aca="false">IF(G301="","No",IF(OR(G301&lt;=0,G301&gt;5000000),"No","Yes"))</f>
        <v>Yes</v>
      </c>
      <c r="I301" s="8" t="n">
        <f aca="false">IFERROR(DATEVALUE('Raw_Data (Before)'!G301),"")</f>
        <v>44872</v>
      </c>
      <c r="J301" s="7" t="str">
        <f aca="false">IF(I301="","No","Yes")</f>
        <v>Yes</v>
      </c>
      <c r="K301" s="7" t="str">
        <f aca="false">IF(OR(ISERROR(FIND("@",'Raw_Data (Before)'!H301)),ISNUMBER(FIND("@@",'Raw_Data (Before)'!H301)),ISNUMBER(FIND(" ",'Raw_Data (Before)'!H301)),ISERROR(FIND(".",'Raw_Data (Before)'!H301,FIND("@",'Raw_Data (Before)'!H301)))),"No","Yes")</f>
        <v>Yes</v>
      </c>
      <c r="L301" s="7" t="str">
        <f aca="false">IFERROR(INDEX(Lookup_Tables!$H$5:$H$9,MATCH(UPPER(TRIM('Raw_Data (Before)'!I301)),Lookup_Tables!$G$5:$G$9,0)),"UNMAPPED")</f>
        <v>Active</v>
      </c>
      <c r="M301" s="7" t="str">
        <f aca="false">IF(COUNTIF('Raw_Data (Before)'!$A$5:$A$424,A301)&gt;1,"YES","No")</f>
        <v>No</v>
      </c>
      <c r="N301" s="7" t="str">
        <f aca="false">IF(OR(C301="UNMAPPED",D301="UNMAPPED",F301="No",H301="No",J301="No",K301="No",L301="UNMAPPED",M301="YES"),"NEEDS REVIEW","OK")</f>
        <v>OK</v>
      </c>
    </row>
    <row r="302" customFormat="false" ht="15" hidden="false" customHeight="false" outlineLevel="0" collapsed="false">
      <c r="A302" s="7" t="str">
        <f aca="false">'Raw_Data (Before)'!A302</f>
        <v>EMP0234</v>
      </c>
      <c r="B302" s="7" t="str">
        <f aca="false">PROPER(TRIM('Raw_Data (Before)'!B302))</f>
        <v>Chidi Abubakar</v>
      </c>
      <c r="C302" s="7" t="str">
        <f aca="false">IFERROR(INDEX(Lookup_Tables!$B$5:$B$24,MATCH(UPPER(TRIM('Raw_Data (Before)'!C302)),Lookup_Tables!$A$5:$A$24,0)),"UNMAPPED")</f>
        <v>Customer Service</v>
      </c>
      <c r="D302" s="7" t="str">
        <f aca="false">IFERROR(INDEX(Lookup_Tables!$E$5:$E$8,MATCH(UPPER(TRIM('Raw_Data (Before)'!D302)),Lookup_Tables!$D$5:$D$8,0)),"UNMAPPED")</f>
        <v>Male</v>
      </c>
      <c r="E302" s="7" t="n">
        <f aca="false">'Raw_Data (Before)'!E302</f>
        <v>26</v>
      </c>
      <c r="F302" s="7" t="str">
        <f aca="false">IF(E302="","No",IF(OR(E302&lt;16,E302&gt;75),"No","Yes"))</f>
        <v>Yes</v>
      </c>
      <c r="G302" s="7" t="n">
        <f aca="false">IFERROR(VALUE(SUBSTITUTE(SUBSTITUTE('Raw_Data (Before)'!F302,"₦",""),",","")),"")</f>
        <v>869904</v>
      </c>
      <c r="H302" s="7" t="str">
        <f aca="false">IF(G302="","No",IF(OR(G302&lt;=0,G302&gt;5000000),"No","Yes"))</f>
        <v>Yes</v>
      </c>
      <c r="I302" s="8" t="str">
        <f aca="false">IFERROR(DATEVALUE('Raw_Data (Before)'!G302),"")</f>
        <v/>
      </c>
      <c r="J302" s="7" t="str">
        <f aca="false">IF(I302="","No","Yes")</f>
        <v>No</v>
      </c>
      <c r="K302" s="7" t="str">
        <f aca="false">IF(OR(ISERROR(FIND("@",'Raw_Data (Before)'!H302)),ISNUMBER(FIND("@@",'Raw_Data (Before)'!H302)),ISNUMBER(FIND(" ",'Raw_Data (Before)'!H302)),ISERROR(FIND(".",'Raw_Data (Before)'!H302,FIND("@",'Raw_Data (Before)'!H302)))),"No","Yes")</f>
        <v>Yes</v>
      </c>
      <c r="L302" s="7" t="str">
        <f aca="false">IFERROR(INDEX(Lookup_Tables!$H$5:$H$9,MATCH(UPPER(TRIM('Raw_Data (Before)'!I302)),Lookup_Tables!$G$5:$G$9,0)),"UNMAPPED")</f>
        <v>Active</v>
      </c>
      <c r="M302" s="7" t="str">
        <f aca="false">IF(COUNTIF('Raw_Data (Before)'!$A$5:$A$424,A302)&gt;1,"YES","No")</f>
        <v>No</v>
      </c>
      <c r="N302" s="7" t="str">
        <f aca="false">IF(OR(C302="UNMAPPED",D302="UNMAPPED",F302="No",H302="No",J302="No",K302="No",L302="UNMAPPED",M302="YES"),"NEEDS REVIEW","OK")</f>
        <v>NEEDS REVIEW</v>
      </c>
    </row>
    <row r="303" customFormat="false" ht="15" hidden="false" customHeight="false" outlineLevel="0" collapsed="false">
      <c r="A303" s="7" t="str">
        <f aca="false">'Raw_Data (Before)'!A303</f>
        <v>EMP0367</v>
      </c>
      <c r="B303" s="7" t="str">
        <f aca="false">PROPER(TRIM('Raw_Data (Before)'!B303))</f>
        <v>Ifeoma Nnamdi</v>
      </c>
      <c r="C303" s="7" t="str">
        <f aca="false">IFERROR(INDEX(Lookup_Tables!$B$5:$B$24,MATCH(UPPER(TRIM('Raw_Data (Before)'!C303)),Lookup_Tables!$A$5:$A$24,0)),"UNMAPPED")</f>
        <v>Operations</v>
      </c>
      <c r="D303" s="7" t="str">
        <f aca="false">IFERROR(INDEX(Lookup_Tables!$E$5:$E$8,MATCH(UPPER(TRIM('Raw_Data (Before)'!D303)),Lookup_Tables!$D$5:$D$8,0)),"UNMAPPED")</f>
        <v>Male</v>
      </c>
      <c r="E303" s="7" t="n">
        <f aca="false">'Raw_Data (Before)'!E303</f>
        <v>24</v>
      </c>
      <c r="F303" s="7" t="str">
        <f aca="false">IF(E303="","No",IF(OR(E303&lt;16,E303&gt;75),"No","Yes"))</f>
        <v>Yes</v>
      </c>
      <c r="G303" s="7" t="n">
        <f aca="false">IFERROR(VALUE(SUBSTITUTE(SUBSTITUTE('Raw_Data (Before)'!F303,"₦",""),",","")),"")</f>
        <v>311898</v>
      </c>
      <c r="H303" s="7" t="str">
        <f aca="false">IF(G303="","No",IF(OR(G303&lt;=0,G303&gt;5000000),"No","Yes"))</f>
        <v>Yes</v>
      </c>
      <c r="I303" s="8" t="str">
        <f aca="false">IFERROR(DATEVALUE('Raw_Data (Before)'!G303),"")</f>
        <v/>
      </c>
      <c r="J303" s="7" t="str">
        <f aca="false">IF(I303="","No","Yes")</f>
        <v>No</v>
      </c>
      <c r="K303" s="7" t="str">
        <f aca="false">IF(OR(ISERROR(FIND("@",'Raw_Data (Before)'!H303)),ISNUMBER(FIND("@@",'Raw_Data (Before)'!H303)),ISNUMBER(FIND(" ",'Raw_Data (Before)'!H303)),ISERROR(FIND(".",'Raw_Data (Before)'!H303,FIND("@",'Raw_Data (Before)'!H303)))),"No","Yes")</f>
        <v>Yes</v>
      </c>
      <c r="L303" s="7" t="str">
        <f aca="false">IFERROR(INDEX(Lookup_Tables!$H$5:$H$9,MATCH(UPPER(TRIM('Raw_Data (Before)'!I303)),Lookup_Tables!$G$5:$G$9,0)),"UNMAPPED")</f>
        <v>Inactive</v>
      </c>
      <c r="M303" s="7" t="str">
        <f aca="false">IF(COUNTIF('Raw_Data (Before)'!$A$5:$A$424,A303)&gt;1,"YES","No")</f>
        <v>YES</v>
      </c>
      <c r="N303" s="7" t="str">
        <f aca="false">IF(OR(C303="UNMAPPED",D303="UNMAPPED",F303="No",H303="No",J303="No",K303="No",L303="UNMAPPED",M303="YES"),"NEEDS REVIEW","OK")</f>
        <v>NEEDS REVIEW</v>
      </c>
    </row>
    <row r="304" customFormat="false" ht="15" hidden="false" customHeight="false" outlineLevel="0" collapsed="false">
      <c r="A304" s="7" t="str">
        <f aca="false">'Raw_Data (Before)'!A304</f>
        <v>EMP0238</v>
      </c>
      <c r="B304" s="7" t="str">
        <f aca="false">PROPER(TRIM('Raw_Data (Before)'!B304))</f>
        <v>Bisi Umeh</v>
      </c>
      <c r="C304" s="7" t="str">
        <f aca="false">IFERROR(INDEX(Lookup_Tables!$B$5:$B$24,MATCH(UPPER(TRIM('Raw_Data (Before)'!C304)),Lookup_Tables!$A$5:$A$24,0)),"UNMAPPED")</f>
        <v>Sales</v>
      </c>
      <c r="D304" s="7" t="str">
        <f aca="false">IFERROR(INDEX(Lookup_Tables!$E$5:$E$8,MATCH(UPPER(TRIM('Raw_Data (Before)'!D304)),Lookup_Tables!$D$5:$D$8,0)),"UNMAPPED")</f>
        <v>Male</v>
      </c>
      <c r="E304" s="7" t="n">
        <f aca="false">'Raw_Data (Before)'!E304</f>
        <v>49</v>
      </c>
      <c r="F304" s="7" t="str">
        <f aca="false">IF(E304="","No",IF(OR(E304&lt;16,E304&gt;75),"No","Yes"))</f>
        <v>Yes</v>
      </c>
      <c r="G304" s="7" t="n">
        <f aca="false">IFERROR(VALUE(SUBSTITUTE(SUBSTITUTE('Raw_Data (Before)'!F304,"₦",""),",","")),"")</f>
        <v>385695</v>
      </c>
      <c r="H304" s="7" t="str">
        <f aca="false">IF(G304="","No",IF(OR(G304&lt;=0,G304&gt;5000000),"No","Yes"))</f>
        <v>Yes</v>
      </c>
      <c r="I304" s="8" t="n">
        <f aca="false">IFERROR(DATEVALUE('Raw_Data (Before)'!G304),"")</f>
        <v>43245</v>
      </c>
      <c r="J304" s="7" t="str">
        <f aca="false">IF(I304="","No","Yes")</f>
        <v>Yes</v>
      </c>
      <c r="K304" s="7" t="str">
        <f aca="false">IF(OR(ISERROR(FIND("@",'Raw_Data (Before)'!H304)),ISNUMBER(FIND("@@",'Raw_Data (Before)'!H304)),ISNUMBER(FIND(" ",'Raw_Data (Before)'!H304)),ISERROR(FIND(".",'Raw_Data (Before)'!H304,FIND("@",'Raw_Data (Before)'!H304)))),"No","Yes")</f>
        <v>Yes</v>
      </c>
      <c r="L304" s="7" t="str">
        <f aca="false">IFERROR(INDEX(Lookup_Tables!$H$5:$H$9,MATCH(UPPER(TRIM('Raw_Data (Before)'!I304)),Lookup_Tables!$G$5:$G$9,0)),"UNMAPPED")</f>
        <v>Inactive</v>
      </c>
      <c r="M304" s="7" t="str">
        <f aca="false">IF(COUNTIF('Raw_Data (Before)'!$A$5:$A$424,A304)&gt;1,"YES","No")</f>
        <v>No</v>
      </c>
      <c r="N304" s="7" t="str">
        <f aca="false">IF(OR(C304="UNMAPPED",D304="UNMAPPED",F304="No",H304="No",J304="No",K304="No",L304="UNMAPPED",M304="YES"),"NEEDS REVIEW","OK")</f>
        <v>OK</v>
      </c>
    </row>
    <row r="305" customFormat="false" ht="15" hidden="false" customHeight="false" outlineLevel="0" collapsed="false">
      <c r="A305" s="7" t="str">
        <f aca="false">'Raw_Data (Before)'!A305</f>
        <v>EMP0184</v>
      </c>
      <c r="B305" s="7" t="str">
        <f aca="false">PROPER(TRIM('Raw_Data (Before)'!B305))</f>
        <v>Yusuf Adeyemi</v>
      </c>
      <c r="C305" s="7" t="str">
        <f aca="false">IFERROR(INDEX(Lookup_Tables!$B$5:$B$24,MATCH(UPPER(TRIM('Raw_Data (Before)'!C305)),Lookup_Tables!$A$5:$A$24,0)),"UNMAPPED")</f>
        <v>Sales</v>
      </c>
      <c r="D305" s="7" t="str">
        <f aca="false">IFERROR(INDEX(Lookup_Tables!$E$5:$E$8,MATCH(UPPER(TRIM('Raw_Data (Before)'!D305)),Lookup_Tables!$D$5:$D$8,0)),"UNMAPPED")</f>
        <v>Female</v>
      </c>
      <c r="E305" s="7" t="n">
        <f aca="false">'Raw_Data (Before)'!E305</f>
        <v>52</v>
      </c>
      <c r="F305" s="7" t="str">
        <f aca="false">IF(E305="","No",IF(OR(E305&lt;16,E305&gt;75),"No","Yes"))</f>
        <v>Yes</v>
      </c>
      <c r="G305" s="7" t="n">
        <f aca="false">IFERROR(VALUE(SUBSTITUTE(SUBSTITUTE('Raw_Data (Before)'!F305,"₦",""),",","")),"")</f>
        <v>535334</v>
      </c>
      <c r="H305" s="7" t="str">
        <f aca="false">IF(G305="","No",IF(OR(G305&lt;=0,G305&gt;5000000),"No","Yes"))</f>
        <v>Yes</v>
      </c>
      <c r="I305" s="8" t="n">
        <f aca="false">IFERROR(DATEVALUE('Raw_Data (Before)'!G305),"")</f>
        <v>45409</v>
      </c>
      <c r="J305" s="7" t="str">
        <f aca="false">IF(I305="","No","Yes")</f>
        <v>Yes</v>
      </c>
      <c r="K305" s="7" t="str">
        <f aca="false">IF(OR(ISERROR(FIND("@",'Raw_Data (Before)'!H305)),ISNUMBER(FIND("@@",'Raw_Data (Before)'!H305)),ISNUMBER(FIND(" ",'Raw_Data (Before)'!H305)),ISERROR(FIND(".",'Raw_Data (Before)'!H305,FIND("@",'Raw_Data (Before)'!H305)))),"No","Yes")</f>
        <v>Yes</v>
      </c>
      <c r="L305" s="7" t="str">
        <f aca="false">IFERROR(INDEX(Lookup_Tables!$H$5:$H$9,MATCH(UPPER(TRIM('Raw_Data (Before)'!I305)),Lookup_Tables!$G$5:$G$9,0)),"UNMAPPED")</f>
        <v>Active</v>
      </c>
      <c r="M305" s="7" t="str">
        <f aca="false">IF(COUNTIF('Raw_Data (Before)'!$A$5:$A$424,A305)&gt;1,"YES","No")</f>
        <v>YES</v>
      </c>
      <c r="N305" s="7" t="str">
        <f aca="false">IF(OR(C305="UNMAPPED",D305="UNMAPPED",F305="No",H305="No",J305="No",K305="No",L305="UNMAPPED",M305="YES"),"NEEDS REVIEW","OK")</f>
        <v>NEEDS REVIEW</v>
      </c>
    </row>
    <row r="306" customFormat="false" ht="15" hidden="false" customHeight="false" outlineLevel="0" collapsed="false">
      <c r="A306" s="7" t="str">
        <f aca="false">'Raw_Data (Before)'!A306</f>
        <v>EMP0196</v>
      </c>
      <c r="B306" s="7" t="str">
        <f aca="false">PROPER(TRIM('Raw_Data (Before)'!B306))</f>
        <v>Tunde Chukwu</v>
      </c>
      <c r="C306" s="7" t="str">
        <f aca="false">IFERROR(INDEX(Lookup_Tables!$B$5:$B$24,MATCH(UPPER(TRIM('Raw_Data (Before)'!C306)),Lookup_Tables!$A$5:$A$24,0)),"UNMAPPED")</f>
        <v>Finance</v>
      </c>
      <c r="D306" s="7" t="str">
        <f aca="false">IFERROR(INDEX(Lookup_Tables!$E$5:$E$8,MATCH(UPPER(TRIM('Raw_Data (Before)'!D306)),Lookup_Tables!$D$5:$D$8,0)),"UNMAPPED")</f>
        <v>Female</v>
      </c>
      <c r="E306" s="7" t="n">
        <f aca="false">'Raw_Data (Before)'!E306</f>
        <v>54</v>
      </c>
      <c r="F306" s="7" t="str">
        <f aca="false">IF(E306="","No",IF(OR(E306&lt;16,E306&gt;75),"No","Yes"))</f>
        <v>Yes</v>
      </c>
      <c r="G306" s="7" t="n">
        <f aca="false">IFERROR(VALUE(SUBSTITUTE(SUBSTITUTE('Raw_Data (Before)'!F306,"₦",""),",","")),"")</f>
        <v>454299</v>
      </c>
      <c r="H306" s="7" t="str">
        <f aca="false">IF(G306="","No",IF(OR(G306&lt;=0,G306&gt;5000000),"No","Yes"))</f>
        <v>Yes</v>
      </c>
      <c r="I306" s="8" t="n">
        <f aca="false">IFERROR(DATEVALUE('Raw_Data (Before)'!G306),"")</f>
        <v>44081</v>
      </c>
      <c r="J306" s="7" t="str">
        <f aca="false">IF(I306="","No","Yes")</f>
        <v>Yes</v>
      </c>
      <c r="K306" s="7" t="str">
        <f aca="false">IF(OR(ISERROR(FIND("@",'Raw_Data (Before)'!H306)),ISNUMBER(FIND("@@",'Raw_Data (Before)'!H306)),ISNUMBER(FIND(" ",'Raw_Data (Before)'!H306)),ISERROR(FIND(".",'Raw_Data (Before)'!H306,FIND("@",'Raw_Data (Before)'!H306)))),"No","Yes")</f>
        <v>No</v>
      </c>
      <c r="L306" s="7" t="str">
        <f aca="false">IFERROR(INDEX(Lookup_Tables!$H$5:$H$9,MATCH(UPPER(TRIM('Raw_Data (Before)'!I306)),Lookup_Tables!$G$5:$G$9,0)),"UNMAPPED")</f>
        <v>Active</v>
      </c>
      <c r="M306" s="7" t="str">
        <f aca="false">IF(COUNTIF('Raw_Data (Before)'!$A$5:$A$424,A306)&gt;1,"YES","No")</f>
        <v>No</v>
      </c>
      <c r="N306" s="7" t="str">
        <f aca="false">IF(OR(C306="UNMAPPED",D306="UNMAPPED",F306="No",H306="No",J306="No",K306="No",L306="UNMAPPED",M306="YES"),"NEEDS REVIEW","OK")</f>
        <v>NEEDS REVIEW</v>
      </c>
    </row>
    <row r="307" customFormat="false" ht="15" hidden="false" customHeight="false" outlineLevel="0" collapsed="false">
      <c r="A307" s="7" t="str">
        <f aca="false">'Raw_Data (Before)'!A307</f>
        <v>EMP0074</v>
      </c>
      <c r="B307" s="7" t="str">
        <f aca="false">PROPER(TRIM('Raw_Data (Before)'!B307))</f>
        <v>Aisha Eze</v>
      </c>
      <c r="C307" s="7" t="str">
        <f aca="false">IFERROR(INDEX(Lookup_Tables!$B$5:$B$24,MATCH(UPPER(TRIM('Raw_Data (Before)'!C307)),Lookup_Tables!$A$5:$A$24,0)),"UNMAPPED")</f>
        <v>IT</v>
      </c>
      <c r="D307" s="7" t="str">
        <f aca="false">IFERROR(INDEX(Lookup_Tables!$E$5:$E$8,MATCH(UPPER(TRIM('Raw_Data (Before)'!D307)),Lookup_Tables!$D$5:$D$8,0)),"UNMAPPED")</f>
        <v>Female</v>
      </c>
      <c r="E307" s="7" t="n">
        <f aca="false">'Raw_Data (Before)'!E307</f>
        <v>21</v>
      </c>
      <c r="F307" s="7" t="str">
        <f aca="false">IF(E307="","No",IF(OR(E307&lt;16,E307&gt;75),"No","Yes"))</f>
        <v>Yes</v>
      </c>
      <c r="G307" s="7" t="n">
        <f aca="false">IFERROR(VALUE(SUBSTITUTE(SUBSTITUTE('Raw_Data (Before)'!F307,"₦",""),",","")),"")</f>
        <v>728955</v>
      </c>
      <c r="H307" s="7" t="str">
        <f aca="false">IF(G307="","No",IF(OR(G307&lt;=0,G307&gt;5000000),"No","Yes"))</f>
        <v>Yes</v>
      </c>
      <c r="I307" s="8" t="n">
        <f aca="false">IFERROR(DATEVALUE('Raw_Data (Before)'!G307),"")</f>
        <v>45163</v>
      </c>
      <c r="J307" s="7" t="str">
        <f aca="false">IF(I307="","No","Yes")</f>
        <v>Yes</v>
      </c>
      <c r="K307" s="7" t="str">
        <f aca="false">IF(OR(ISERROR(FIND("@",'Raw_Data (Before)'!H307)),ISNUMBER(FIND("@@",'Raw_Data (Before)'!H307)),ISNUMBER(FIND(" ",'Raw_Data (Before)'!H307)),ISERROR(FIND(".",'Raw_Data (Before)'!H307,FIND("@",'Raw_Data (Before)'!H307)))),"No","Yes")</f>
        <v>Yes</v>
      </c>
      <c r="L307" s="7" t="str">
        <f aca="false">IFERROR(INDEX(Lookup_Tables!$H$5:$H$9,MATCH(UPPER(TRIM('Raw_Data (Before)'!I307)),Lookup_Tables!$G$5:$G$9,0)),"UNMAPPED")</f>
        <v>Active</v>
      </c>
      <c r="M307" s="7" t="str">
        <f aca="false">IF(COUNTIF('Raw_Data (Before)'!$A$5:$A$424,A307)&gt;1,"YES","No")</f>
        <v>No</v>
      </c>
      <c r="N307" s="7" t="str">
        <f aca="false">IF(OR(C307="UNMAPPED",D307="UNMAPPED",F307="No",H307="No",J307="No",K307="No",L307="UNMAPPED",M307="YES"),"NEEDS REVIEW","OK")</f>
        <v>OK</v>
      </c>
    </row>
    <row r="308" customFormat="false" ht="15" hidden="false" customHeight="false" outlineLevel="0" collapsed="false">
      <c r="A308" s="7" t="str">
        <f aca="false">'Raw_Data (Before)'!A308</f>
        <v>EMP0384</v>
      </c>
      <c r="B308" s="7" t="str">
        <f aca="false">PROPER(TRIM('Raw_Data (Before)'!B308))</f>
        <v>Samuel Nwosu</v>
      </c>
      <c r="C308" s="7" t="str">
        <f aca="false">IFERROR(INDEX(Lookup_Tables!$B$5:$B$24,MATCH(UPPER(TRIM('Raw_Data (Before)'!C308)),Lookup_Tables!$A$5:$A$24,0)),"UNMAPPED")</f>
        <v>Sales</v>
      </c>
      <c r="D308" s="7" t="str">
        <f aca="false">IFERROR(INDEX(Lookup_Tables!$E$5:$E$8,MATCH(UPPER(TRIM('Raw_Data (Before)'!D308)),Lookup_Tables!$D$5:$D$8,0)),"UNMAPPED")</f>
        <v>Female</v>
      </c>
      <c r="E308" s="7" t="n">
        <f aca="false">'Raw_Data (Before)'!E308</f>
        <v>48</v>
      </c>
      <c r="F308" s="7" t="str">
        <f aca="false">IF(E308="","No",IF(OR(E308&lt;16,E308&gt;75),"No","Yes"))</f>
        <v>Yes</v>
      </c>
      <c r="G308" s="7" t="n">
        <f aca="false">IFERROR(VALUE(SUBSTITUTE(SUBSTITUTE('Raw_Data (Before)'!F308,"₦",""),",","")),"")</f>
        <v>213226</v>
      </c>
      <c r="H308" s="7" t="str">
        <f aca="false">IF(G308="","No",IF(OR(G308&lt;=0,G308&gt;5000000),"No","Yes"))</f>
        <v>Yes</v>
      </c>
      <c r="I308" s="8" t="n">
        <f aca="false">IFERROR(DATEVALUE('Raw_Data (Before)'!G308),"")</f>
        <v>43561</v>
      </c>
      <c r="J308" s="7" t="str">
        <f aca="false">IF(I308="","No","Yes")</f>
        <v>Yes</v>
      </c>
      <c r="K308" s="7" t="str">
        <f aca="false">IF(OR(ISERROR(FIND("@",'Raw_Data (Before)'!H308)),ISNUMBER(FIND("@@",'Raw_Data (Before)'!H308)),ISNUMBER(FIND(" ",'Raw_Data (Before)'!H308)),ISERROR(FIND(".",'Raw_Data (Before)'!H308,FIND("@",'Raw_Data (Before)'!H308)))),"No","Yes")</f>
        <v>No</v>
      </c>
      <c r="L308" s="7" t="str">
        <f aca="false">IFERROR(INDEX(Lookup_Tables!$H$5:$H$9,MATCH(UPPER(TRIM('Raw_Data (Before)'!I308)),Lookup_Tables!$G$5:$G$9,0)),"UNMAPPED")</f>
        <v>Active</v>
      </c>
      <c r="M308" s="7" t="str">
        <f aca="false">IF(COUNTIF('Raw_Data (Before)'!$A$5:$A$424,A308)&gt;1,"YES","No")</f>
        <v>No</v>
      </c>
      <c r="N308" s="7" t="str">
        <f aca="false">IF(OR(C308="UNMAPPED",D308="UNMAPPED",F308="No",H308="No",J308="No",K308="No",L308="UNMAPPED",M308="YES"),"NEEDS REVIEW","OK")</f>
        <v>NEEDS REVIEW</v>
      </c>
    </row>
    <row r="309" customFormat="false" ht="15" hidden="false" customHeight="false" outlineLevel="0" collapsed="false">
      <c r="A309" s="7" t="str">
        <f aca="false">'Raw_Data (Before)'!A309</f>
        <v>EMP0283</v>
      </c>
      <c r="B309" s="7" t="str">
        <f aca="false">PROPER(TRIM('Raw_Data (Before)'!B309))</f>
        <v>Chiamaka Okafor</v>
      </c>
      <c r="C309" s="7" t="str">
        <f aca="false">IFERROR(INDEX(Lookup_Tables!$B$5:$B$24,MATCH(UPPER(TRIM('Raw_Data (Before)'!C309)),Lookup_Tables!$A$5:$A$24,0)),"UNMAPPED")</f>
        <v>Customer Service</v>
      </c>
      <c r="D309" s="7" t="str">
        <f aca="false">IFERROR(INDEX(Lookup_Tables!$E$5:$E$8,MATCH(UPPER(TRIM('Raw_Data (Before)'!D309)),Lookup_Tables!$D$5:$D$8,0)),"UNMAPPED")</f>
        <v>Female</v>
      </c>
      <c r="E309" s="7" t="n">
        <f aca="false">'Raw_Data (Before)'!E309</f>
        <v>21</v>
      </c>
      <c r="F309" s="7" t="str">
        <f aca="false">IF(E309="","No",IF(OR(E309&lt;16,E309&gt;75),"No","Yes"))</f>
        <v>Yes</v>
      </c>
      <c r="G309" s="7" t="n">
        <f aca="false">IFERROR(VALUE(SUBSTITUTE(SUBSTITUTE('Raw_Data (Before)'!F309,"₦",""),",","")),"")</f>
        <v>335236</v>
      </c>
      <c r="H309" s="7" t="str">
        <f aca="false">IF(G309="","No",IF(OR(G309&lt;=0,G309&gt;5000000),"No","Yes"))</f>
        <v>Yes</v>
      </c>
      <c r="I309" s="8" t="n">
        <f aca="false">IFERROR(DATEVALUE('Raw_Data (Before)'!G309),"")</f>
        <v>45085</v>
      </c>
      <c r="J309" s="7" t="str">
        <f aca="false">IF(I309="","No","Yes")</f>
        <v>Yes</v>
      </c>
      <c r="K309" s="7" t="str">
        <f aca="false">IF(OR(ISERROR(FIND("@",'Raw_Data (Before)'!H309)),ISNUMBER(FIND("@@",'Raw_Data (Before)'!H309)),ISNUMBER(FIND(" ",'Raw_Data (Before)'!H309)),ISERROR(FIND(".",'Raw_Data (Before)'!H309,FIND("@",'Raw_Data (Before)'!H309)))),"No","Yes")</f>
        <v>Yes</v>
      </c>
      <c r="L309" s="7" t="str">
        <f aca="false">IFERROR(INDEX(Lookup_Tables!$H$5:$H$9,MATCH(UPPER(TRIM('Raw_Data (Before)'!I309)),Lookup_Tables!$G$5:$G$9,0)),"UNMAPPED")</f>
        <v>Active</v>
      </c>
      <c r="M309" s="7" t="str">
        <f aca="false">IF(COUNTIF('Raw_Data (Before)'!$A$5:$A$424,A309)&gt;1,"YES","No")</f>
        <v>No</v>
      </c>
      <c r="N309" s="7" t="str">
        <f aca="false">IF(OR(C309="UNMAPPED",D309="UNMAPPED",F309="No",H309="No",J309="No",K309="No",L309="UNMAPPED",M309="YES"),"NEEDS REVIEW","OK")</f>
        <v>OK</v>
      </c>
    </row>
    <row r="310" customFormat="false" ht="15" hidden="false" customHeight="false" outlineLevel="0" collapsed="false">
      <c r="A310" s="7" t="str">
        <f aca="false">'Raw_Data (Before)'!A310</f>
        <v>EMP0047</v>
      </c>
      <c r="B310" s="7" t="str">
        <f aca="false">PROPER(TRIM('Raw_Data (Before)'!B310))</f>
        <v>Ruth Chukwu</v>
      </c>
      <c r="C310" s="7" t="str">
        <f aca="false">IFERROR(INDEX(Lookup_Tables!$B$5:$B$24,MATCH(UPPER(TRIM('Raw_Data (Before)'!C310)),Lookup_Tables!$A$5:$A$24,0)),"UNMAPPED")</f>
        <v>Operations</v>
      </c>
      <c r="D310" s="7" t="str">
        <f aca="false">IFERROR(INDEX(Lookup_Tables!$E$5:$E$8,MATCH(UPPER(TRIM('Raw_Data (Before)'!D310)),Lookup_Tables!$D$5:$D$8,0)),"UNMAPPED")</f>
        <v>Male</v>
      </c>
      <c r="E310" s="7" t="n">
        <f aca="false">'Raw_Data (Before)'!E310</f>
        <v>34</v>
      </c>
      <c r="F310" s="7" t="str">
        <f aca="false">IF(E310="","No",IF(OR(E310&lt;16,E310&gt;75),"No","Yes"))</f>
        <v>Yes</v>
      </c>
      <c r="G310" s="7" t="n">
        <f aca="false">IFERROR(VALUE(SUBSTITUTE(SUBSTITUTE('Raw_Data (Before)'!F310,"₦",""),",","")),"")</f>
        <v>475172</v>
      </c>
      <c r="H310" s="7" t="str">
        <f aca="false">IF(G310="","No",IF(OR(G310&lt;=0,G310&gt;5000000),"No","Yes"))</f>
        <v>Yes</v>
      </c>
      <c r="I310" s="8" t="n">
        <f aca="false">IFERROR(DATEVALUE('Raw_Data (Before)'!G310),"")</f>
        <v>44669</v>
      </c>
      <c r="J310" s="7" t="str">
        <f aca="false">IF(I310="","No","Yes")</f>
        <v>Yes</v>
      </c>
      <c r="K310" s="7" t="str">
        <f aca="false">IF(OR(ISERROR(FIND("@",'Raw_Data (Before)'!H310)),ISNUMBER(FIND("@@",'Raw_Data (Before)'!H310)),ISNUMBER(FIND(" ",'Raw_Data (Before)'!H310)),ISERROR(FIND(".",'Raw_Data (Before)'!H310,FIND("@",'Raw_Data (Before)'!H310)))),"No","Yes")</f>
        <v>Yes</v>
      </c>
      <c r="L310" s="7" t="str">
        <f aca="false">IFERROR(INDEX(Lookup_Tables!$H$5:$H$9,MATCH(UPPER(TRIM('Raw_Data (Before)'!I310)),Lookup_Tables!$G$5:$G$9,0)),"UNMAPPED")</f>
        <v>Active</v>
      </c>
      <c r="M310" s="7" t="str">
        <f aca="false">IF(COUNTIF('Raw_Data (Before)'!$A$5:$A$424,A310)&gt;1,"YES","No")</f>
        <v>No</v>
      </c>
      <c r="N310" s="7" t="str">
        <f aca="false">IF(OR(C310="UNMAPPED",D310="UNMAPPED",F310="No",H310="No",J310="No",K310="No",L310="UNMAPPED",M310="YES"),"NEEDS REVIEW","OK")</f>
        <v>OK</v>
      </c>
    </row>
    <row r="311" customFormat="false" ht="15" hidden="false" customHeight="false" outlineLevel="0" collapsed="false">
      <c r="A311" s="7" t="str">
        <f aca="false">'Raw_Data (Before)'!A311</f>
        <v>EMP0158</v>
      </c>
      <c r="B311" s="7" t="str">
        <f aca="false">PROPER(TRIM('Raw_Data (Before)'!B311))</f>
        <v>Peter Balogun</v>
      </c>
      <c r="C311" s="7" t="str">
        <f aca="false">IFERROR(INDEX(Lookup_Tables!$B$5:$B$24,MATCH(UPPER(TRIM('Raw_Data (Before)'!C311)),Lookup_Tables!$A$5:$A$24,0)),"UNMAPPED")</f>
        <v>IT</v>
      </c>
      <c r="D311" s="7" t="str">
        <f aca="false">IFERROR(INDEX(Lookup_Tables!$E$5:$E$8,MATCH(UPPER(TRIM('Raw_Data (Before)'!D311)),Lookup_Tables!$D$5:$D$8,0)),"UNMAPPED")</f>
        <v>Male</v>
      </c>
      <c r="E311" s="7" t="n">
        <f aca="false">'Raw_Data (Before)'!E311</f>
        <v>41</v>
      </c>
      <c r="F311" s="7" t="str">
        <f aca="false">IF(E311="","No",IF(OR(E311&lt;16,E311&gt;75),"No","Yes"))</f>
        <v>Yes</v>
      </c>
      <c r="G311" s="7" t="n">
        <f aca="false">IFERROR(VALUE(SUBSTITUTE(SUBSTITUTE('Raw_Data (Before)'!F311,"₦",""),",","")),"")</f>
        <v>294234</v>
      </c>
      <c r="H311" s="7" t="str">
        <f aca="false">IF(G311="","No",IF(OR(G311&lt;=0,G311&gt;5000000),"No","Yes"))</f>
        <v>Yes</v>
      </c>
      <c r="I311" s="8" t="n">
        <f aca="false">IFERROR(DATEVALUE('Raw_Data (Before)'!G311),"")</f>
        <v>44427</v>
      </c>
      <c r="J311" s="7" t="str">
        <f aca="false">IF(I311="","No","Yes")</f>
        <v>Yes</v>
      </c>
      <c r="K311" s="7" t="str">
        <f aca="false">IF(OR(ISERROR(FIND("@",'Raw_Data (Before)'!H311)),ISNUMBER(FIND("@@",'Raw_Data (Before)'!H311)),ISNUMBER(FIND(" ",'Raw_Data (Before)'!H311)),ISERROR(FIND(".",'Raw_Data (Before)'!H311,FIND("@",'Raw_Data (Before)'!H311)))),"No","Yes")</f>
        <v>Yes</v>
      </c>
      <c r="L311" s="7" t="str">
        <f aca="false">IFERROR(INDEX(Lookup_Tables!$H$5:$H$9,MATCH(UPPER(TRIM('Raw_Data (Before)'!I311)),Lookup_Tables!$G$5:$G$9,0)),"UNMAPPED")</f>
        <v>Active</v>
      </c>
      <c r="M311" s="7" t="str">
        <f aca="false">IF(COUNTIF('Raw_Data (Before)'!$A$5:$A$424,A311)&gt;1,"YES","No")</f>
        <v>No</v>
      </c>
      <c r="N311" s="7" t="str">
        <f aca="false">IF(OR(C311="UNMAPPED",D311="UNMAPPED",F311="No",H311="No",J311="No",K311="No",L311="UNMAPPED",M311="YES"),"NEEDS REVIEW","OK")</f>
        <v>OK</v>
      </c>
    </row>
    <row r="312" customFormat="false" ht="15" hidden="false" customHeight="false" outlineLevel="0" collapsed="false">
      <c r="A312" s="7" t="str">
        <f aca="false">'Raw_Data (Before)'!A312</f>
        <v>EMP0117</v>
      </c>
      <c r="B312" s="7" t="str">
        <f aca="false">PROPER(TRIM('Raw_Data (Before)'!B312))</f>
        <v>Peter Ogundipe</v>
      </c>
      <c r="C312" s="7" t="str">
        <f aca="false">IFERROR(INDEX(Lookup_Tables!$B$5:$B$24,MATCH(UPPER(TRIM('Raw_Data (Before)'!C312)),Lookup_Tables!$A$5:$A$24,0)),"UNMAPPED")</f>
        <v>Marketing</v>
      </c>
      <c r="D312" s="7" t="str">
        <f aca="false">IFERROR(INDEX(Lookup_Tables!$E$5:$E$8,MATCH(UPPER(TRIM('Raw_Data (Before)'!D312)),Lookup_Tables!$D$5:$D$8,0)),"UNMAPPED")</f>
        <v>Male</v>
      </c>
      <c r="E312" s="7" t="n">
        <f aca="false">'Raw_Data (Before)'!E312</f>
        <v>32</v>
      </c>
      <c r="F312" s="7" t="str">
        <f aca="false">IF(E312="","No",IF(OR(E312&lt;16,E312&gt;75),"No","Yes"))</f>
        <v>Yes</v>
      </c>
      <c r="G312" s="7" t="n">
        <f aca="false">IFERROR(VALUE(SUBSTITUTE(SUBSTITUTE('Raw_Data (Before)'!F312,"₦",""),",","")),"")</f>
        <v>118773</v>
      </c>
      <c r="H312" s="7" t="str">
        <f aca="false">IF(G312="","No",IF(OR(G312&lt;=0,G312&gt;5000000),"No","Yes"))</f>
        <v>Yes</v>
      </c>
      <c r="I312" s="8" t="n">
        <f aca="false">IFERROR(DATEVALUE('Raw_Data (Before)'!G312),"")</f>
        <v>45778</v>
      </c>
      <c r="J312" s="7" t="str">
        <f aca="false">IF(I312="","No","Yes")</f>
        <v>Yes</v>
      </c>
      <c r="K312" s="7" t="str">
        <f aca="false">IF(OR(ISERROR(FIND("@",'Raw_Data (Before)'!H312)),ISNUMBER(FIND("@@",'Raw_Data (Before)'!H312)),ISNUMBER(FIND(" ",'Raw_Data (Before)'!H312)),ISERROR(FIND(".",'Raw_Data (Before)'!H312,FIND("@",'Raw_Data (Before)'!H312)))),"No","Yes")</f>
        <v>Yes</v>
      </c>
      <c r="L312" s="7" t="str">
        <f aca="false">IFERROR(INDEX(Lookup_Tables!$H$5:$H$9,MATCH(UPPER(TRIM('Raw_Data (Before)'!I312)),Lookup_Tables!$G$5:$G$9,0)),"UNMAPPED")</f>
        <v>Active</v>
      </c>
      <c r="M312" s="7" t="str">
        <f aca="false">IF(COUNTIF('Raw_Data (Before)'!$A$5:$A$424,A312)&gt;1,"YES","No")</f>
        <v>No</v>
      </c>
      <c r="N312" s="7" t="str">
        <f aca="false">IF(OR(C312="UNMAPPED",D312="UNMAPPED",F312="No",H312="No",J312="No",K312="No",L312="UNMAPPED",M312="YES"),"NEEDS REVIEW","OK")</f>
        <v>OK</v>
      </c>
    </row>
    <row r="313" customFormat="false" ht="15" hidden="false" customHeight="false" outlineLevel="0" collapsed="false">
      <c r="A313" s="7" t="str">
        <f aca="false">'Raw_Data (Before)'!A313</f>
        <v>EMP0147</v>
      </c>
      <c r="B313" s="7" t="str">
        <f aca="false">PROPER(TRIM('Raw_Data (Before)'!B313))</f>
        <v>Grace Abubakar</v>
      </c>
      <c r="C313" s="7" t="str">
        <f aca="false">IFERROR(INDEX(Lookup_Tables!$B$5:$B$24,MATCH(UPPER(TRIM('Raw_Data (Before)'!C313)),Lookup_Tables!$A$5:$A$24,0)),"UNMAPPED")</f>
        <v>Marketing</v>
      </c>
      <c r="D313" s="7" t="str">
        <f aca="false">IFERROR(INDEX(Lookup_Tables!$E$5:$E$8,MATCH(UPPER(TRIM('Raw_Data (Before)'!D313)),Lookup_Tables!$D$5:$D$8,0)),"UNMAPPED")</f>
        <v>Male</v>
      </c>
      <c r="E313" s="7" t="n">
        <f aca="false">'Raw_Data (Before)'!E313</f>
        <v>42</v>
      </c>
      <c r="F313" s="7" t="str">
        <f aca="false">IF(E313="","No",IF(OR(E313&lt;16,E313&gt;75),"No","Yes"))</f>
        <v>Yes</v>
      </c>
      <c r="G313" s="7" t="n">
        <f aca="false">IFERROR(VALUE(SUBSTITUTE(SUBSTITUTE('Raw_Data (Before)'!F313,"₦",""),",","")),"")</f>
        <v>830286</v>
      </c>
      <c r="H313" s="7" t="str">
        <f aca="false">IF(G313="","No",IF(OR(G313&lt;=0,G313&gt;5000000),"No","Yes"))</f>
        <v>Yes</v>
      </c>
      <c r="I313" s="8" t="n">
        <f aca="false">IFERROR(DATEVALUE('Raw_Data (Before)'!G313),"")</f>
        <v>44588</v>
      </c>
      <c r="J313" s="7" t="str">
        <f aca="false">IF(I313="","No","Yes")</f>
        <v>Yes</v>
      </c>
      <c r="K313" s="7" t="str">
        <f aca="false">IF(OR(ISERROR(FIND("@",'Raw_Data (Before)'!H313)),ISNUMBER(FIND("@@",'Raw_Data (Before)'!H313)),ISNUMBER(FIND(" ",'Raw_Data (Before)'!H313)),ISERROR(FIND(".",'Raw_Data (Before)'!H313,FIND("@",'Raw_Data (Before)'!H313)))),"No","Yes")</f>
        <v>Yes</v>
      </c>
      <c r="L313" s="7" t="str">
        <f aca="false">IFERROR(INDEX(Lookup_Tables!$H$5:$H$9,MATCH(UPPER(TRIM('Raw_Data (Before)'!I313)),Lookup_Tables!$G$5:$G$9,0)),"UNMAPPED")</f>
        <v>Inactive</v>
      </c>
      <c r="M313" s="7" t="str">
        <f aca="false">IF(COUNTIF('Raw_Data (Before)'!$A$5:$A$424,A313)&gt;1,"YES","No")</f>
        <v>No</v>
      </c>
      <c r="N313" s="7" t="str">
        <f aca="false">IF(OR(C313="UNMAPPED",D313="UNMAPPED",F313="No",H313="No",J313="No",K313="No",L313="UNMAPPED",M313="YES"),"NEEDS REVIEW","OK")</f>
        <v>OK</v>
      </c>
    </row>
    <row r="314" customFormat="false" ht="15" hidden="false" customHeight="false" outlineLevel="0" collapsed="false">
      <c r="A314" s="7" t="str">
        <f aca="false">'Raw_Data (Before)'!A314</f>
        <v>EMP0395</v>
      </c>
      <c r="B314" s="7" t="str">
        <f aca="false">PROPER(TRIM('Raw_Data (Before)'!B314))</f>
        <v>Grace Abubakar</v>
      </c>
      <c r="C314" s="7" t="str">
        <f aca="false">IFERROR(INDEX(Lookup_Tables!$B$5:$B$24,MATCH(UPPER(TRIM('Raw_Data (Before)'!C314)),Lookup_Tables!$A$5:$A$24,0)),"UNMAPPED")</f>
        <v>HR</v>
      </c>
      <c r="D314" s="7" t="str">
        <f aca="false">IFERROR(INDEX(Lookup_Tables!$E$5:$E$8,MATCH(UPPER(TRIM('Raw_Data (Before)'!D314)),Lookup_Tables!$D$5:$D$8,0)),"UNMAPPED")</f>
        <v>Female</v>
      </c>
      <c r="E314" s="7" t="n">
        <f aca="false">'Raw_Data (Before)'!E314</f>
        <v>23</v>
      </c>
      <c r="F314" s="7" t="str">
        <f aca="false">IF(E314="","No",IF(OR(E314&lt;16,E314&gt;75),"No","Yes"))</f>
        <v>Yes</v>
      </c>
      <c r="G314" s="7" t="n">
        <f aca="false">IFERROR(VALUE(SUBSTITUTE(SUBSTITUTE('Raw_Data (Before)'!F314,"₦",""),",","")),"")</f>
        <v>734905</v>
      </c>
      <c r="H314" s="7" t="str">
        <f aca="false">IF(G314="","No",IF(OR(G314&lt;=0,G314&gt;5000000),"No","Yes"))</f>
        <v>Yes</v>
      </c>
      <c r="I314" s="8" t="n">
        <f aca="false">IFERROR(DATEVALUE('Raw_Data (Before)'!G314),"")</f>
        <v>44416</v>
      </c>
      <c r="J314" s="7" t="str">
        <f aca="false">IF(I314="","No","Yes")</f>
        <v>Yes</v>
      </c>
      <c r="K314" s="7" t="str">
        <f aca="false">IF(OR(ISERROR(FIND("@",'Raw_Data (Before)'!H314)),ISNUMBER(FIND("@@",'Raw_Data (Before)'!H314)),ISNUMBER(FIND(" ",'Raw_Data (Before)'!H314)),ISERROR(FIND(".",'Raw_Data (Before)'!H314,FIND("@",'Raw_Data (Before)'!H314)))),"No","Yes")</f>
        <v>Yes</v>
      </c>
      <c r="L314" s="7" t="str">
        <f aca="false">IFERROR(INDEX(Lookup_Tables!$H$5:$H$9,MATCH(UPPER(TRIM('Raw_Data (Before)'!I314)),Lookup_Tables!$G$5:$G$9,0)),"UNMAPPED")</f>
        <v>Active</v>
      </c>
      <c r="M314" s="7" t="str">
        <f aca="false">IF(COUNTIF('Raw_Data (Before)'!$A$5:$A$424,A314)&gt;1,"YES","No")</f>
        <v>No</v>
      </c>
      <c r="N314" s="7" t="str">
        <f aca="false">IF(OR(C314="UNMAPPED",D314="UNMAPPED",F314="No",H314="No",J314="No",K314="No",L314="UNMAPPED",M314="YES"),"NEEDS REVIEW","OK")</f>
        <v>OK</v>
      </c>
    </row>
    <row r="315" customFormat="false" ht="15" hidden="false" customHeight="false" outlineLevel="0" collapsed="false">
      <c r="A315" s="7" t="str">
        <f aca="false">'Raw_Data (Before)'!A315</f>
        <v>EMP0003</v>
      </c>
      <c r="B315" s="7" t="str">
        <f aca="false">PROPER(TRIM('Raw_Data (Before)'!B315))</f>
        <v>Peter Adamu</v>
      </c>
      <c r="C315" s="7" t="str">
        <f aca="false">IFERROR(INDEX(Lookup_Tables!$B$5:$B$24,MATCH(UPPER(TRIM('Raw_Data (Before)'!C315)),Lookup_Tables!$A$5:$A$24,0)),"UNMAPPED")</f>
        <v>Sales</v>
      </c>
      <c r="D315" s="7" t="str">
        <f aca="false">IFERROR(INDEX(Lookup_Tables!$E$5:$E$8,MATCH(UPPER(TRIM('Raw_Data (Before)'!D315)),Lookup_Tables!$D$5:$D$8,0)),"UNMAPPED")</f>
        <v>Female</v>
      </c>
      <c r="E315" s="7" t="n">
        <f aca="false">'Raw_Data (Before)'!E315</f>
        <v>33</v>
      </c>
      <c r="F315" s="7" t="str">
        <f aca="false">IF(E315="","No",IF(OR(E315&lt;16,E315&gt;75),"No","Yes"))</f>
        <v>Yes</v>
      </c>
      <c r="G315" s="7" t="n">
        <f aca="false">IFERROR(VALUE(SUBSTITUTE(SUBSTITUTE('Raw_Data (Before)'!F315,"₦",""),",","")),"")</f>
        <v>-470487</v>
      </c>
      <c r="H315" s="7" t="str">
        <f aca="false">IF(G315="","No",IF(OR(G315&lt;=0,G315&gt;5000000),"No","Yes"))</f>
        <v>No</v>
      </c>
      <c r="I315" s="8" t="n">
        <f aca="false">IFERROR(DATEVALUE('Raw_Data (Before)'!G315),"")</f>
        <v>43523</v>
      </c>
      <c r="J315" s="7" t="str">
        <f aca="false">IF(I315="","No","Yes")</f>
        <v>Yes</v>
      </c>
      <c r="K315" s="7" t="str">
        <f aca="false">IF(OR(ISERROR(FIND("@",'Raw_Data (Before)'!H315)),ISNUMBER(FIND("@@",'Raw_Data (Before)'!H315)),ISNUMBER(FIND(" ",'Raw_Data (Before)'!H315)),ISERROR(FIND(".",'Raw_Data (Before)'!H315,FIND("@",'Raw_Data (Before)'!H315)))),"No","Yes")</f>
        <v>Yes</v>
      </c>
      <c r="L315" s="7" t="str">
        <f aca="false">IFERROR(INDEX(Lookup_Tables!$H$5:$H$9,MATCH(UPPER(TRIM('Raw_Data (Before)'!I315)),Lookup_Tables!$G$5:$G$9,0)),"UNMAPPED")</f>
        <v>Active</v>
      </c>
      <c r="M315" s="7" t="str">
        <f aca="false">IF(COUNTIF('Raw_Data (Before)'!$A$5:$A$424,A315)&gt;1,"YES","No")</f>
        <v>No</v>
      </c>
      <c r="N315" s="7" t="str">
        <f aca="false">IF(OR(C315="UNMAPPED",D315="UNMAPPED",F315="No",H315="No",J315="No",K315="No",L315="UNMAPPED",M315="YES"),"NEEDS REVIEW","OK")</f>
        <v>NEEDS REVIEW</v>
      </c>
    </row>
    <row r="316" customFormat="false" ht="15" hidden="false" customHeight="false" outlineLevel="0" collapsed="false">
      <c r="A316" s="7" t="str">
        <f aca="false">'Raw_Data (Before)'!A316</f>
        <v>EMP0284</v>
      </c>
      <c r="B316" s="7" t="str">
        <f aca="false">PROPER(TRIM('Raw_Data (Before)'!B316))</f>
        <v>Amaka Uche</v>
      </c>
      <c r="C316" s="7" t="str">
        <f aca="false">IFERROR(INDEX(Lookup_Tables!$B$5:$B$24,MATCH(UPPER(TRIM('Raw_Data (Before)'!C316)),Lookup_Tables!$A$5:$A$24,0)),"UNMAPPED")</f>
        <v>Finance</v>
      </c>
      <c r="D316" s="7" t="str">
        <f aca="false">IFERROR(INDEX(Lookup_Tables!$E$5:$E$8,MATCH(UPPER(TRIM('Raw_Data (Before)'!D316)),Lookup_Tables!$D$5:$D$8,0)),"UNMAPPED")</f>
        <v>Female</v>
      </c>
      <c r="E316" s="7" t="n">
        <f aca="false">'Raw_Data (Before)'!E316</f>
        <v>24</v>
      </c>
      <c r="F316" s="7" t="str">
        <f aca="false">IF(E316="","No",IF(OR(E316&lt;16,E316&gt;75),"No","Yes"))</f>
        <v>Yes</v>
      </c>
      <c r="G316" s="7" t="n">
        <f aca="false">IFERROR(VALUE(SUBSTITUTE(SUBSTITUTE('Raw_Data (Before)'!F316,"₦",""),",","")),"")</f>
        <v>573521</v>
      </c>
      <c r="H316" s="7" t="str">
        <f aca="false">IF(G316="","No",IF(OR(G316&lt;=0,G316&gt;5000000),"No","Yes"))</f>
        <v>Yes</v>
      </c>
      <c r="I316" s="8" t="n">
        <f aca="false">IFERROR(DATEVALUE('Raw_Data (Before)'!G316),"")</f>
        <v>43377</v>
      </c>
      <c r="J316" s="7" t="str">
        <f aca="false">IF(I316="","No","Yes")</f>
        <v>Yes</v>
      </c>
      <c r="K316" s="7" t="str">
        <f aca="false">IF(OR(ISERROR(FIND("@",'Raw_Data (Before)'!H316)),ISNUMBER(FIND("@@",'Raw_Data (Before)'!H316)),ISNUMBER(FIND(" ",'Raw_Data (Before)'!H316)),ISERROR(FIND(".",'Raw_Data (Before)'!H316,FIND("@",'Raw_Data (Before)'!H316)))),"No","Yes")</f>
        <v>Yes</v>
      </c>
      <c r="L316" s="7" t="str">
        <f aca="false">IFERROR(INDEX(Lookup_Tables!$H$5:$H$9,MATCH(UPPER(TRIM('Raw_Data (Before)'!I316)),Lookup_Tables!$G$5:$G$9,0)),"UNMAPPED")</f>
        <v>Active</v>
      </c>
      <c r="M316" s="7" t="str">
        <f aca="false">IF(COUNTIF('Raw_Data (Before)'!$A$5:$A$424,A316)&gt;1,"YES","No")</f>
        <v>No</v>
      </c>
      <c r="N316" s="7" t="str">
        <f aca="false">IF(OR(C316="UNMAPPED",D316="UNMAPPED",F316="No",H316="No",J316="No",K316="No",L316="UNMAPPED",M316="YES"),"NEEDS REVIEW","OK")</f>
        <v>OK</v>
      </c>
    </row>
    <row r="317" customFormat="false" ht="15" hidden="false" customHeight="false" outlineLevel="0" collapsed="false">
      <c r="A317" s="7" t="str">
        <f aca="false">'Raw_Data (Before)'!A317</f>
        <v>EMP0144</v>
      </c>
      <c r="B317" s="7" t="str">
        <f aca="false">PROPER(TRIM('Raw_Data (Before)'!B317))</f>
        <v>Fatima Duru</v>
      </c>
      <c r="C317" s="7" t="str">
        <f aca="false">IFERROR(INDEX(Lookup_Tables!$B$5:$B$24,MATCH(UPPER(TRIM('Raw_Data (Before)'!C317)),Lookup_Tables!$A$5:$A$24,0)),"UNMAPPED")</f>
        <v>Finance</v>
      </c>
      <c r="D317" s="7" t="str">
        <f aca="false">IFERROR(INDEX(Lookup_Tables!$E$5:$E$8,MATCH(UPPER(TRIM('Raw_Data (Before)'!D317)),Lookup_Tables!$D$5:$D$8,0)),"UNMAPPED")</f>
        <v>Male</v>
      </c>
      <c r="E317" s="7" t="n">
        <f aca="false">'Raw_Data (Before)'!E317</f>
        <v>22</v>
      </c>
      <c r="F317" s="7" t="str">
        <f aca="false">IF(E317="","No",IF(OR(E317&lt;16,E317&gt;75),"No","Yes"))</f>
        <v>Yes</v>
      </c>
      <c r="G317" s="7" t="n">
        <f aca="false">IFERROR(VALUE(SUBSTITUTE(SUBSTITUTE('Raw_Data (Before)'!F317,"₦",""),",","")),"")</f>
        <v>-100396</v>
      </c>
      <c r="H317" s="7" t="str">
        <f aca="false">IF(G317="","No",IF(OR(G317&lt;=0,G317&gt;5000000),"No","Yes"))</f>
        <v>No</v>
      </c>
      <c r="I317" s="8" t="n">
        <f aca="false">IFERROR(DATEVALUE('Raw_Data (Before)'!G317),"")</f>
        <v>44378</v>
      </c>
      <c r="J317" s="7" t="str">
        <f aca="false">IF(I317="","No","Yes")</f>
        <v>Yes</v>
      </c>
      <c r="K317" s="7" t="str">
        <f aca="false">IF(OR(ISERROR(FIND("@",'Raw_Data (Before)'!H317)),ISNUMBER(FIND("@@",'Raw_Data (Before)'!H317)),ISNUMBER(FIND(" ",'Raw_Data (Before)'!H317)),ISERROR(FIND(".",'Raw_Data (Before)'!H317,FIND("@",'Raw_Data (Before)'!H317)))),"No","Yes")</f>
        <v>Yes</v>
      </c>
      <c r="L317" s="7" t="str">
        <f aca="false">IFERROR(INDEX(Lookup_Tables!$H$5:$H$9,MATCH(UPPER(TRIM('Raw_Data (Before)'!I317)),Lookup_Tables!$G$5:$G$9,0)),"UNMAPPED")</f>
        <v>Active</v>
      </c>
      <c r="M317" s="7" t="str">
        <f aca="false">IF(COUNTIF('Raw_Data (Before)'!$A$5:$A$424,A317)&gt;1,"YES","No")</f>
        <v>No</v>
      </c>
      <c r="N317" s="7" t="str">
        <f aca="false">IF(OR(C317="UNMAPPED",D317="UNMAPPED",F317="No",H317="No",J317="No",K317="No",L317="UNMAPPED",M317="YES"),"NEEDS REVIEW","OK")</f>
        <v>NEEDS REVIEW</v>
      </c>
    </row>
    <row r="318" customFormat="false" ht="15" hidden="false" customHeight="false" outlineLevel="0" collapsed="false">
      <c r="A318" s="7" t="str">
        <f aca="false">'Raw_Data (Before)'!A318</f>
        <v>EMP0332</v>
      </c>
      <c r="B318" s="7" t="str">
        <f aca="false">PROPER(TRIM('Raw_Data (Before)'!B318))</f>
        <v>Daniel Adamu</v>
      </c>
      <c r="C318" s="7" t="str">
        <f aca="false">IFERROR(INDEX(Lookup_Tables!$B$5:$B$24,MATCH(UPPER(TRIM('Raw_Data (Before)'!C318)),Lookup_Tables!$A$5:$A$24,0)),"UNMAPPED")</f>
        <v>Sales</v>
      </c>
      <c r="D318" s="7" t="str">
        <f aca="false">IFERROR(INDEX(Lookup_Tables!$E$5:$E$8,MATCH(UPPER(TRIM('Raw_Data (Before)'!D318)),Lookup_Tables!$D$5:$D$8,0)),"UNMAPPED")</f>
        <v>Female</v>
      </c>
      <c r="E318" s="7" t="n">
        <f aca="false">'Raw_Data (Before)'!E318</f>
        <v>46</v>
      </c>
      <c r="F318" s="7" t="str">
        <f aca="false">IF(E318="","No",IF(OR(E318&lt;16,E318&gt;75),"No","Yes"))</f>
        <v>Yes</v>
      </c>
      <c r="G318" s="7" t="n">
        <f aca="false">IFERROR(VALUE(SUBSTITUTE(SUBSTITUTE('Raw_Data (Before)'!F318,"₦",""),",","")),"")</f>
        <v>830820</v>
      </c>
      <c r="H318" s="7" t="str">
        <f aca="false">IF(G318="","No",IF(OR(G318&lt;=0,G318&gt;5000000),"No","Yes"))</f>
        <v>Yes</v>
      </c>
      <c r="I318" s="8" t="n">
        <f aca="false">IFERROR(DATEVALUE('Raw_Data (Before)'!G318),"")</f>
        <v>45575</v>
      </c>
      <c r="J318" s="7" t="str">
        <f aca="false">IF(I318="","No","Yes")</f>
        <v>Yes</v>
      </c>
      <c r="K318" s="7" t="str">
        <f aca="false">IF(OR(ISERROR(FIND("@",'Raw_Data (Before)'!H318)),ISNUMBER(FIND("@@",'Raw_Data (Before)'!H318)),ISNUMBER(FIND(" ",'Raw_Data (Before)'!H318)),ISERROR(FIND(".",'Raw_Data (Before)'!H318,FIND("@",'Raw_Data (Before)'!H318)))),"No","Yes")</f>
        <v>Yes</v>
      </c>
      <c r="L318" s="7" t="str">
        <f aca="false">IFERROR(INDEX(Lookup_Tables!$H$5:$H$9,MATCH(UPPER(TRIM('Raw_Data (Before)'!I318)),Lookup_Tables!$G$5:$G$9,0)),"UNMAPPED")</f>
        <v>Active</v>
      </c>
      <c r="M318" s="7" t="str">
        <f aca="false">IF(COUNTIF('Raw_Data (Before)'!$A$5:$A$424,A318)&gt;1,"YES","No")</f>
        <v>No</v>
      </c>
      <c r="N318" s="7" t="str">
        <f aca="false">IF(OR(C318="UNMAPPED",D318="UNMAPPED",F318="No",H318="No",J318="No",K318="No",L318="UNMAPPED",M318="YES"),"NEEDS REVIEW","OK")</f>
        <v>OK</v>
      </c>
    </row>
    <row r="319" customFormat="false" ht="15" hidden="false" customHeight="false" outlineLevel="0" collapsed="false">
      <c r="A319" s="7" t="str">
        <f aca="false">'Raw_Data (Before)'!A319</f>
        <v>EMP0342</v>
      </c>
      <c r="B319" s="7" t="str">
        <f aca="false">PROPER(TRIM('Raw_Data (Before)'!B319))</f>
        <v>Ngozi Abubakar</v>
      </c>
      <c r="C319" s="7" t="str">
        <f aca="false">IFERROR(INDEX(Lookup_Tables!$B$5:$B$24,MATCH(UPPER(TRIM('Raw_Data (Before)'!C319)),Lookup_Tables!$A$5:$A$24,0)),"UNMAPPED")</f>
        <v>Marketing</v>
      </c>
      <c r="D319" s="7" t="str">
        <f aca="false">IFERROR(INDEX(Lookup_Tables!$E$5:$E$8,MATCH(UPPER(TRIM('Raw_Data (Before)'!D319)),Lookup_Tables!$D$5:$D$8,0)),"UNMAPPED")</f>
        <v>Female</v>
      </c>
      <c r="E319" s="7" t="n">
        <f aca="false">'Raw_Data (Before)'!E319</f>
        <v>52</v>
      </c>
      <c r="F319" s="7" t="str">
        <f aca="false">IF(E319="","No",IF(OR(E319&lt;16,E319&gt;75),"No","Yes"))</f>
        <v>Yes</v>
      </c>
      <c r="G319" s="7" t="n">
        <f aca="false">IFERROR(VALUE(SUBSTITUTE(SUBSTITUTE('Raw_Data (Before)'!F319,"₦",""),",","")),"")</f>
        <v>653432</v>
      </c>
      <c r="H319" s="7" t="str">
        <f aca="false">IF(G319="","No",IF(OR(G319&lt;=0,G319&gt;5000000),"No","Yes"))</f>
        <v>Yes</v>
      </c>
      <c r="I319" s="8" t="n">
        <f aca="false">IFERROR(DATEVALUE('Raw_Data (Before)'!G319),"")</f>
        <v>45212</v>
      </c>
      <c r="J319" s="7" t="str">
        <f aca="false">IF(I319="","No","Yes")</f>
        <v>Yes</v>
      </c>
      <c r="K319" s="7" t="str">
        <f aca="false">IF(OR(ISERROR(FIND("@",'Raw_Data (Before)'!H319)),ISNUMBER(FIND("@@",'Raw_Data (Before)'!H319)),ISNUMBER(FIND(" ",'Raw_Data (Before)'!H319)),ISERROR(FIND(".",'Raw_Data (Before)'!H319,FIND("@",'Raw_Data (Before)'!H319)))),"No","Yes")</f>
        <v>No</v>
      </c>
      <c r="L319" s="7" t="str">
        <f aca="false">IFERROR(INDEX(Lookup_Tables!$H$5:$H$9,MATCH(UPPER(TRIM('Raw_Data (Before)'!I319)),Lookup_Tables!$G$5:$G$9,0)),"UNMAPPED")</f>
        <v>Active</v>
      </c>
      <c r="M319" s="7" t="str">
        <f aca="false">IF(COUNTIF('Raw_Data (Before)'!$A$5:$A$424,A319)&gt;1,"YES","No")</f>
        <v>No</v>
      </c>
      <c r="N319" s="7" t="str">
        <f aca="false">IF(OR(C319="UNMAPPED",D319="UNMAPPED",F319="No",H319="No",J319="No",K319="No",L319="UNMAPPED",M319="YES"),"NEEDS REVIEW","OK")</f>
        <v>NEEDS REVIEW</v>
      </c>
    </row>
    <row r="320" customFormat="false" ht="15" hidden="false" customHeight="false" outlineLevel="0" collapsed="false">
      <c r="A320" s="7" t="str">
        <f aca="false">'Raw_Data (Before)'!A320</f>
        <v>EMP0105</v>
      </c>
      <c r="B320" s="7" t="str">
        <f aca="false">PROPER(TRIM('Raw_Data (Before)'!B320))</f>
        <v>Aisha Chukwu</v>
      </c>
      <c r="C320" s="7" t="str">
        <f aca="false">IFERROR(INDEX(Lookup_Tables!$B$5:$B$24,MATCH(UPPER(TRIM('Raw_Data (Before)'!C320)),Lookup_Tables!$A$5:$A$24,0)),"UNMAPPED")</f>
        <v>IT</v>
      </c>
      <c r="D320" s="7" t="str">
        <f aca="false">IFERROR(INDEX(Lookup_Tables!$E$5:$E$8,MATCH(UPPER(TRIM('Raw_Data (Before)'!D320)),Lookup_Tables!$D$5:$D$8,0)),"UNMAPPED")</f>
        <v>Male</v>
      </c>
      <c r="E320" s="7" t="n">
        <f aca="false">'Raw_Data (Before)'!E320</f>
        <v>46</v>
      </c>
      <c r="F320" s="7" t="str">
        <f aca="false">IF(E320="","No",IF(OR(E320&lt;16,E320&gt;75),"No","Yes"))</f>
        <v>Yes</v>
      </c>
      <c r="G320" s="7" t="n">
        <f aca="false">IFERROR(VALUE(SUBSTITUTE(SUBSTITUTE('Raw_Data (Before)'!F320,"₦",""),",","")),"")</f>
        <v>564564</v>
      </c>
      <c r="H320" s="7" t="str">
        <f aca="false">IF(G320="","No",IF(OR(G320&lt;=0,G320&gt;5000000),"No","Yes"))</f>
        <v>Yes</v>
      </c>
      <c r="I320" s="8" t="str">
        <f aca="false">IFERROR(DATEVALUE('Raw_Data (Before)'!G320),"")</f>
        <v/>
      </c>
      <c r="J320" s="7" t="str">
        <f aca="false">IF(I320="","No","Yes")</f>
        <v>No</v>
      </c>
      <c r="K320" s="7" t="str">
        <f aca="false">IF(OR(ISERROR(FIND("@",'Raw_Data (Before)'!H320)),ISNUMBER(FIND("@@",'Raw_Data (Before)'!H320)),ISNUMBER(FIND(" ",'Raw_Data (Before)'!H320)),ISERROR(FIND(".",'Raw_Data (Before)'!H320,FIND("@",'Raw_Data (Before)'!H320)))),"No","Yes")</f>
        <v>Yes</v>
      </c>
      <c r="L320" s="7" t="str">
        <f aca="false">IFERROR(INDEX(Lookup_Tables!$H$5:$H$9,MATCH(UPPER(TRIM('Raw_Data (Before)'!I320)),Lookup_Tables!$G$5:$G$9,0)),"UNMAPPED")</f>
        <v>Active</v>
      </c>
      <c r="M320" s="7" t="str">
        <f aca="false">IF(COUNTIF('Raw_Data (Before)'!$A$5:$A$424,A320)&gt;1,"YES","No")</f>
        <v>No</v>
      </c>
      <c r="N320" s="7" t="str">
        <f aca="false">IF(OR(C320="UNMAPPED",D320="UNMAPPED",F320="No",H320="No",J320="No",K320="No",L320="UNMAPPED",M320="YES"),"NEEDS REVIEW","OK")</f>
        <v>NEEDS REVIEW</v>
      </c>
    </row>
    <row r="321" customFormat="false" ht="15" hidden="false" customHeight="false" outlineLevel="0" collapsed="false">
      <c r="A321" s="7" t="str">
        <f aca="false">'Raw_Data (Before)'!A321</f>
        <v>EMP0341</v>
      </c>
      <c r="B321" s="7" t="str">
        <f aca="false">PROPER(TRIM('Raw_Data (Before)'!B321))</f>
        <v>Fatima Balogun</v>
      </c>
      <c r="C321" s="7" t="str">
        <f aca="false">IFERROR(INDEX(Lookup_Tables!$B$5:$B$24,MATCH(UPPER(TRIM('Raw_Data (Before)'!C321)),Lookup_Tables!$A$5:$A$24,0)),"UNMAPPED")</f>
        <v>Sales</v>
      </c>
      <c r="D321" s="7" t="str">
        <f aca="false">IFERROR(INDEX(Lookup_Tables!$E$5:$E$8,MATCH(UPPER(TRIM('Raw_Data (Before)'!D321)),Lookup_Tables!$D$5:$D$8,0)),"UNMAPPED")</f>
        <v>Female</v>
      </c>
      <c r="E321" s="7" t="n">
        <f aca="false">'Raw_Data (Before)'!E321</f>
        <v>59</v>
      </c>
      <c r="F321" s="7" t="str">
        <f aca="false">IF(E321="","No",IF(OR(E321&lt;16,E321&gt;75),"No","Yes"))</f>
        <v>Yes</v>
      </c>
      <c r="G321" s="7" t="str">
        <f aca="false">IFERROR(VALUE(SUBSTITUTE(SUBSTITUTE('Raw_Data (Before)'!F321,"₦",""),",","")),"")</f>
        <v/>
      </c>
      <c r="H321" s="7" t="str">
        <f aca="false">IF(G321="","No",IF(OR(G321&lt;=0,G321&gt;5000000),"No","Yes"))</f>
        <v>No</v>
      </c>
      <c r="I321" s="8" t="str">
        <f aca="false">IFERROR(DATEVALUE('Raw_Data (Before)'!G321),"")</f>
        <v/>
      </c>
      <c r="J321" s="7" t="str">
        <f aca="false">IF(I321="","No","Yes")</f>
        <v>No</v>
      </c>
      <c r="K321" s="7" t="str">
        <f aca="false">IF(OR(ISERROR(FIND("@",'Raw_Data (Before)'!H321)),ISNUMBER(FIND("@@",'Raw_Data (Before)'!H321)),ISNUMBER(FIND(" ",'Raw_Data (Before)'!H321)),ISERROR(FIND(".",'Raw_Data (Before)'!H321,FIND("@",'Raw_Data (Before)'!H321)))),"No","Yes")</f>
        <v>Yes</v>
      </c>
      <c r="L321" s="7" t="str">
        <f aca="false">IFERROR(INDEX(Lookup_Tables!$H$5:$H$9,MATCH(UPPER(TRIM('Raw_Data (Before)'!I321)),Lookup_Tables!$G$5:$G$9,0)),"UNMAPPED")</f>
        <v>Active</v>
      </c>
      <c r="M321" s="7" t="str">
        <f aca="false">IF(COUNTIF('Raw_Data (Before)'!$A$5:$A$424,A321)&gt;1,"YES","No")</f>
        <v>No</v>
      </c>
      <c r="N321" s="7" t="str">
        <f aca="false">IF(OR(C321="UNMAPPED",D321="UNMAPPED",F321="No",H321="No",J321="No",K321="No",L321="UNMAPPED",M321="YES"),"NEEDS REVIEW","OK")</f>
        <v>NEEDS REVIEW</v>
      </c>
    </row>
    <row r="322" customFormat="false" ht="15" hidden="false" customHeight="false" outlineLevel="0" collapsed="false">
      <c r="A322" s="7" t="str">
        <f aca="false">'Raw_Data (Before)'!A322</f>
        <v>EMP0154</v>
      </c>
      <c r="B322" s="7" t="str">
        <f aca="false">PROPER(TRIM('Raw_Data (Before)'!B322))</f>
        <v>Bisi Duru</v>
      </c>
      <c r="C322" s="7" t="str">
        <f aca="false">IFERROR(INDEX(Lookup_Tables!$B$5:$B$24,MATCH(UPPER(TRIM('Raw_Data (Before)'!C322)),Lookup_Tables!$A$5:$A$24,0)),"UNMAPPED")</f>
        <v>Finance</v>
      </c>
      <c r="D322" s="7" t="str">
        <f aca="false">IFERROR(INDEX(Lookup_Tables!$E$5:$E$8,MATCH(UPPER(TRIM('Raw_Data (Before)'!D322)),Lookup_Tables!$D$5:$D$8,0)),"UNMAPPED")</f>
        <v>Male</v>
      </c>
      <c r="E322" s="7" t="n">
        <f aca="false">'Raw_Data (Before)'!E322</f>
        <v>49</v>
      </c>
      <c r="F322" s="7" t="str">
        <f aca="false">IF(E322="","No",IF(OR(E322&lt;16,E322&gt;75),"No","Yes"))</f>
        <v>Yes</v>
      </c>
      <c r="G322" s="7" t="n">
        <f aca="false">IFERROR(VALUE(SUBSTITUTE(SUBSTITUTE('Raw_Data (Before)'!F322,"₦",""),",","")),"")</f>
        <v>451314</v>
      </c>
      <c r="H322" s="7" t="str">
        <f aca="false">IF(G322="","No",IF(OR(G322&lt;=0,G322&gt;5000000),"No","Yes"))</f>
        <v>Yes</v>
      </c>
      <c r="I322" s="8" t="str">
        <f aca="false">IFERROR(DATEVALUE('Raw_Data (Before)'!G322),"")</f>
        <v/>
      </c>
      <c r="J322" s="7" t="str">
        <f aca="false">IF(I322="","No","Yes")</f>
        <v>No</v>
      </c>
      <c r="K322" s="7" t="str">
        <f aca="false">IF(OR(ISERROR(FIND("@",'Raw_Data (Before)'!H322)),ISNUMBER(FIND("@@",'Raw_Data (Before)'!H322)),ISNUMBER(FIND(" ",'Raw_Data (Before)'!H322)),ISERROR(FIND(".",'Raw_Data (Before)'!H322,FIND("@",'Raw_Data (Before)'!H322)))),"No","Yes")</f>
        <v>Yes</v>
      </c>
      <c r="L322" s="7" t="str">
        <f aca="false">IFERROR(INDEX(Lookup_Tables!$H$5:$H$9,MATCH(UPPER(TRIM('Raw_Data (Before)'!I322)),Lookup_Tables!$G$5:$G$9,0)),"UNMAPPED")</f>
        <v>Inactive</v>
      </c>
      <c r="M322" s="7" t="str">
        <f aca="false">IF(COUNTIF('Raw_Data (Before)'!$A$5:$A$424,A322)&gt;1,"YES","No")</f>
        <v>No</v>
      </c>
      <c r="N322" s="7" t="str">
        <f aca="false">IF(OR(C322="UNMAPPED",D322="UNMAPPED",F322="No",H322="No",J322="No",K322="No",L322="UNMAPPED",M322="YES"),"NEEDS REVIEW","OK")</f>
        <v>NEEDS REVIEW</v>
      </c>
    </row>
    <row r="323" customFormat="false" ht="15" hidden="false" customHeight="false" outlineLevel="0" collapsed="false">
      <c r="A323" s="7" t="str">
        <f aca="false">'Raw_Data (Before)'!A323</f>
        <v>EMP0143</v>
      </c>
      <c r="B323" s="7" t="str">
        <f aca="false">PROPER(TRIM('Raw_Data (Before)'!B323))</f>
        <v>Tunde Chukwu</v>
      </c>
      <c r="C323" s="7" t="str">
        <f aca="false">IFERROR(INDEX(Lookup_Tables!$B$5:$B$24,MATCH(UPPER(TRIM('Raw_Data (Before)'!C323)),Lookup_Tables!$A$5:$A$24,0)),"UNMAPPED")</f>
        <v>Marketing</v>
      </c>
      <c r="D323" s="7" t="str">
        <f aca="false">IFERROR(INDEX(Lookup_Tables!$E$5:$E$8,MATCH(UPPER(TRIM('Raw_Data (Before)'!D323)),Lookup_Tables!$D$5:$D$8,0)),"UNMAPPED")</f>
        <v>Female</v>
      </c>
      <c r="E323" s="7" t="n">
        <f aca="false">'Raw_Data (Before)'!E323</f>
        <v>52</v>
      </c>
      <c r="F323" s="7" t="str">
        <f aca="false">IF(E323="","No",IF(OR(E323&lt;16,E323&gt;75),"No","Yes"))</f>
        <v>Yes</v>
      </c>
      <c r="G323" s="7" t="n">
        <f aca="false">IFERROR(VALUE(SUBSTITUTE(SUBSTITUTE('Raw_Data (Before)'!F323,"₦",""),",","")),"")</f>
        <v>548125</v>
      </c>
      <c r="H323" s="7" t="str">
        <f aca="false">IF(G323="","No",IF(OR(G323&lt;=0,G323&gt;5000000),"No","Yes"))</f>
        <v>Yes</v>
      </c>
      <c r="I323" s="8" t="n">
        <f aca="false">IFERROR(DATEVALUE('Raw_Data (Before)'!G323),"")</f>
        <v>44443</v>
      </c>
      <c r="J323" s="7" t="str">
        <f aca="false">IF(I323="","No","Yes")</f>
        <v>Yes</v>
      </c>
      <c r="K323" s="7" t="str">
        <f aca="false">IF(OR(ISERROR(FIND("@",'Raw_Data (Before)'!H323)),ISNUMBER(FIND("@@",'Raw_Data (Before)'!H323)),ISNUMBER(FIND(" ",'Raw_Data (Before)'!H323)),ISERROR(FIND(".",'Raw_Data (Before)'!H323,FIND("@",'Raw_Data (Before)'!H323)))),"No","Yes")</f>
        <v>Yes</v>
      </c>
      <c r="L323" s="7" t="str">
        <f aca="false">IFERROR(INDEX(Lookup_Tables!$H$5:$H$9,MATCH(UPPER(TRIM('Raw_Data (Before)'!I323)),Lookup_Tables!$G$5:$G$9,0)),"UNMAPPED")</f>
        <v>Active</v>
      </c>
      <c r="M323" s="7" t="str">
        <f aca="false">IF(COUNTIF('Raw_Data (Before)'!$A$5:$A$424,A323)&gt;1,"YES","No")</f>
        <v>No</v>
      </c>
      <c r="N323" s="7" t="str">
        <f aca="false">IF(OR(C323="UNMAPPED",D323="UNMAPPED",F323="No",H323="No",J323="No",K323="No",L323="UNMAPPED",M323="YES"),"NEEDS REVIEW","OK")</f>
        <v>OK</v>
      </c>
    </row>
    <row r="324" customFormat="false" ht="15" hidden="false" customHeight="false" outlineLevel="0" collapsed="false">
      <c r="A324" s="7" t="str">
        <f aca="false">'Raw_Data (Before)'!A324</f>
        <v>EMP0150</v>
      </c>
      <c r="B324" s="7" t="str">
        <f aca="false">PROPER(TRIM('Raw_Data (Before)'!B324))</f>
        <v>Joy Adamu</v>
      </c>
      <c r="C324" s="7" t="str">
        <f aca="false">IFERROR(INDEX(Lookup_Tables!$B$5:$B$24,MATCH(UPPER(TRIM('Raw_Data (Before)'!C324)),Lookup_Tables!$A$5:$A$24,0)),"UNMAPPED")</f>
        <v>Customer Service</v>
      </c>
      <c r="D324" s="7" t="str">
        <f aca="false">IFERROR(INDEX(Lookup_Tables!$E$5:$E$8,MATCH(UPPER(TRIM('Raw_Data (Before)'!D324)),Lookup_Tables!$D$5:$D$8,0)),"UNMAPPED")</f>
        <v>Male</v>
      </c>
      <c r="E324" s="7" t="n">
        <f aca="false">'Raw_Data (Before)'!E324</f>
        <v>39</v>
      </c>
      <c r="F324" s="7" t="str">
        <f aca="false">IF(E324="","No",IF(OR(E324&lt;16,E324&gt;75),"No","Yes"))</f>
        <v>Yes</v>
      </c>
      <c r="G324" s="7" t="n">
        <f aca="false">IFERROR(VALUE(SUBSTITUTE(SUBSTITUTE('Raw_Data (Before)'!F324,"₦",""),",","")),"")</f>
        <v>198535</v>
      </c>
      <c r="H324" s="7" t="str">
        <f aca="false">IF(G324="","No",IF(OR(G324&lt;=0,G324&gt;5000000),"No","Yes"))</f>
        <v>Yes</v>
      </c>
      <c r="I324" s="8" t="n">
        <f aca="false">IFERROR(DATEVALUE('Raw_Data (Before)'!G324),"")</f>
        <v>44906</v>
      </c>
      <c r="J324" s="7" t="str">
        <f aca="false">IF(I324="","No","Yes")</f>
        <v>Yes</v>
      </c>
      <c r="K324" s="7" t="str">
        <f aca="false">IF(OR(ISERROR(FIND("@",'Raw_Data (Before)'!H324)),ISNUMBER(FIND("@@",'Raw_Data (Before)'!H324)),ISNUMBER(FIND(" ",'Raw_Data (Before)'!H324)),ISERROR(FIND(".",'Raw_Data (Before)'!H324,FIND("@",'Raw_Data (Before)'!H324)))),"No","Yes")</f>
        <v>Yes</v>
      </c>
      <c r="L324" s="7" t="str">
        <f aca="false">IFERROR(INDEX(Lookup_Tables!$H$5:$H$9,MATCH(UPPER(TRIM('Raw_Data (Before)'!I324)),Lookup_Tables!$G$5:$G$9,0)),"UNMAPPED")</f>
        <v>Active</v>
      </c>
      <c r="M324" s="7" t="str">
        <f aca="false">IF(COUNTIF('Raw_Data (Before)'!$A$5:$A$424,A324)&gt;1,"YES","No")</f>
        <v>No</v>
      </c>
      <c r="N324" s="7" t="str">
        <f aca="false">IF(OR(C324="UNMAPPED",D324="UNMAPPED",F324="No",H324="No",J324="No",K324="No",L324="UNMAPPED",M324="YES"),"NEEDS REVIEW","OK")</f>
        <v>OK</v>
      </c>
    </row>
    <row r="325" customFormat="false" ht="15" hidden="false" customHeight="false" outlineLevel="0" collapsed="false">
      <c r="A325" s="7" t="str">
        <f aca="false">'Raw_Data (Before)'!A325</f>
        <v>EMP0082</v>
      </c>
      <c r="B325" s="7" t="str">
        <f aca="false">PROPER(TRIM('Raw_Data (Before)'!B325))</f>
        <v>Amaka Nnamdi</v>
      </c>
      <c r="C325" s="7" t="str">
        <f aca="false">IFERROR(INDEX(Lookup_Tables!$B$5:$B$24,MATCH(UPPER(TRIM('Raw_Data (Before)'!C325)),Lookup_Tables!$A$5:$A$24,0)),"UNMAPPED")</f>
        <v>Operations</v>
      </c>
      <c r="D325" s="7" t="str">
        <f aca="false">IFERROR(INDEX(Lookup_Tables!$E$5:$E$8,MATCH(UPPER(TRIM('Raw_Data (Before)'!D325)),Lookup_Tables!$D$5:$D$8,0)),"UNMAPPED")</f>
        <v>Male</v>
      </c>
      <c r="E325" s="7" t="n">
        <f aca="false">'Raw_Data (Before)'!E325</f>
        <v>51</v>
      </c>
      <c r="F325" s="7" t="str">
        <f aca="false">IF(E325="","No",IF(OR(E325&lt;16,E325&gt;75),"No","Yes"))</f>
        <v>Yes</v>
      </c>
      <c r="G325" s="7" t="n">
        <f aca="false">IFERROR(VALUE(SUBSTITUTE(SUBSTITUTE('Raw_Data (Before)'!F325,"₦",""),",","")),"")</f>
        <v>246328</v>
      </c>
      <c r="H325" s="7" t="str">
        <f aca="false">IF(G325="","No",IF(OR(G325&lt;=0,G325&gt;5000000),"No","Yes"))</f>
        <v>Yes</v>
      </c>
      <c r="I325" s="8" t="n">
        <f aca="false">IFERROR(DATEVALUE('Raw_Data (Before)'!G325),"")</f>
        <v>43937</v>
      </c>
      <c r="J325" s="7" t="str">
        <f aca="false">IF(I325="","No","Yes")</f>
        <v>Yes</v>
      </c>
      <c r="K325" s="7" t="str">
        <f aca="false">IF(OR(ISERROR(FIND("@",'Raw_Data (Before)'!H325)),ISNUMBER(FIND("@@",'Raw_Data (Before)'!H325)),ISNUMBER(FIND(" ",'Raw_Data (Before)'!H325)),ISERROR(FIND(".",'Raw_Data (Before)'!H325,FIND("@",'Raw_Data (Before)'!H325)))),"No","Yes")</f>
        <v>Yes</v>
      </c>
      <c r="L325" s="7" t="str">
        <f aca="false">IFERROR(INDEX(Lookup_Tables!$H$5:$H$9,MATCH(UPPER(TRIM('Raw_Data (Before)'!I325)),Lookup_Tables!$G$5:$G$9,0)),"UNMAPPED")</f>
        <v>Active</v>
      </c>
      <c r="M325" s="7" t="str">
        <f aca="false">IF(COUNTIF('Raw_Data (Before)'!$A$5:$A$424,A325)&gt;1,"YES","No")</f>
        <v>No</v>
      </c>
      <c r="N325" s="7" t="str">
        <f aca="false">IF(OR(C325="UNMAPPED",D325="UNMAPPED",F325="No",H325="No",J325="No",K325="No",L325="UNMAPPED",M325="YES"),"NEEDS REVIEW","OK")</f>
        <v>OK</v>
      </c>
    </row>
    <row r="326" customFormat="false" ht="15" hidden="false" customHeight="false" outlineLevel="0" collapsed="false">
      <c r="A326" s="7" t="str">
        <f aca="false">'Raw_Data (Before)'!A326</f>
        <v>EMP0026</v>
      </c>
      <c r="B326" s="7" t="str">
        <f aca="false">PROPER(TRIM('Raw_Data (Before)'!B326))</f>
        <v>Ibrahim Sani</v>
      </c>
      <c r="C326" s="7" t="str">
        <f aca="false">IFERROR(INDEX(Lookup_Tables!$B$5:$B$24,MATCH(UPPER(TRIM('Raw_Data (Before)'!C326)),Lookup_Tables!$A$5:$A$24,0)),"UNMAPPED")</f>
        <v>HR</v>
      </c>
      <c r="D326" s="7" t="str">
        <f aca="false">IFERROR(INDEX(Lookup_Tables!$E$5:$E$8,MATCH(UPPER(TRIM('Raw_Data (Before)'!D326)),Lookup_Tables!$D$5:$D$8,0)),"UNMAPPED")</f>
        <v>Female</v>
      </c>
      <c r="E326" s="7" t="n">
        <f aca="false">'Raw_Data (Before)'!E326</f>
        <v>38</v>
      </c>
      <c r="F326" s="7" t="str">
        <f aca="false">IF(E326="","No",IF(OR(E326&lt;16,E326&gt;75),"No","Yes"))</f>
        <v>Yes</v>
      </c>
      <c r="G326" s="7" t="n">
        <f aca="false">IFERROR(VALUE(SUBSTITUTE(SUBSTITUTE('Raw_Data (Before)'!F326,"₦",""),",","")),"")</f>
        <v>97649</v>
      </c>
      <c r="H326" s="7" t="str">
        <f aca="false">IF(G326="","No",IF(OR(G326&lt;=0,G326&gt;5000000),"No","Yes"))</f>
        <v>Yes</v>
      </c>
      <c r="I326" s="8" t="n">
        <f aca="false">IFERROR(DATEVALUE('Raw_Data (Before)'!G326),"")</f>
        <v>43851</v>
      </c>
      <c r="J326" s="7" t="str">
        <f aca="false">IF(I326="","No","Yes")</f>
        <v>Yes</v>
      </c>
      <c r="K326" s="7" t="str">
        <f aca="false">IF(OR(ISERROR(FIND("@",'Raw_Data (Before)'!H326)),ISNUMBER(FIND("@@",'Raw_Data (Before)'!H326)),ISNUMBER(FIND(" ",'Raw_Data (Before)'!H326)),ISERROR(FIND(".",'Raw_Data (Before)'!H326,FIND("@",'Raw_Data (Before)'!H326)))),"No","Yes")</f>
        <v>Yes</v>
      </c>
      <c r="L326" s="7" t="str">
        <f aca="false">IFERROR(INDEX(Lookup_Tables!$H$5:$H$9,MATCH(UPPER(TRIM('Raw_Data (Before)'!I326)),Lookup_Tables!$G$5:$G$9,0)),"UNMAPPED")</f>
        <v>Active</v>
      </c>
      <c r="M326" s="7" t="str">
        <f aca="false">IF(COUNTIF('Raw_Data (Before)'!$A$5:$A$424,A326)&gt;1,"YES","No")</f>
        <v>No</v>
      </c>
      <c r="N326" s="7" t="str">
        <f aca="false">IF(OR(C326="UNMAPPED",D326="UNMAPPED",F326="No",H326="No",J326="No",K326="No",L326="UNMAPPED",M326="YES"),"NEEDS REVIEW","OK")</f>
        <v>OK</v>
      </c>
    </row>
    <row r="327" customFormat="false" ht="15" hidden="false" customHeight="false" outlineLevel="0" collapsed="false">
      <c r="A327" s="7" t="str">
        <f aca="false">'Raw_Data (Before)'!A327</f>
        <v>EMP0062</v>
      </c>
      <c r="B327" s="7" t="str">
        <f aca="false">PROPER(TRIM('Raw_Data (Before)'!B327))</f>
        <v>Chinedu Nwosu</v>
      </c>
      <c r="C327" s="7" t="str">
        <f aca="false">IFERROR(INDEX(Lookup_Tables!$B$5:$B$24,MATCH(UPPER(TRIM('Raw_Data (Before)'!C327)),Lookup_Tables!$A$5:$A$24,0)),"UNMAPPED")</f>
        <v>Sales</v>
      </c>
      <c r="D327" s="7" t="str">
        <f aca="false">IFERROR(INDEX(Lookup_Tables!$E$5:$E$8,MATCH(UPPER(TRIM('Raw_Data (Before)'!D327)),Lookup_Tables!$D$5:$D$8,0)),"UNMAPPED")</f>
        <v>Female</v>
      </c>
      <c r="E327" s="7" t="n">
        <f aca="false">'Raw_Data (Before)'!E327</f>
        <v>36</v>
      </c>
      <c r="F327" s="7" t="str">
        <f aca="false">IF(E327="","No",IF(OR(E327&lt;16,E327&gt;75),"No","Yes"))</f>
        <v>Yes</v>
      </c>
      <c r="G327" s="7" t="n">
        <f aca="false">IFERROR(VALUE(SUBSTITUTE(SUBSTITUTE('Raw_Data (Before)'!F327,"₦",""),",","")),"")</f>
        <v>864310</v>
      </c>
      <c r="H327" s="7" t="str">
        <f aca="false">IF(G327="","No",IF(OR(G327&lt;=0,G327&gt;5000000),"No","Yes"))</f>
        <v>Yes</v>
      </c>
      <c r="I327" s="8" t="n">
        <f aca="false">IFERROR(DATEVALUE('Raw_Data (Before)'!G327),"")</f>
        <v>44808</v>
      </c>
      <c r="J327" s="7" t="str">
        <f aca="false">IF(I327="","No","Yes")</f>
        <v>Yes</v>
      </c>
      <c r="K327" s="7" t="str">
        <f aca="false">IF(OR(ISERROR(FIND("@",'Raw_Data (Before)'!H327)),ISNUMBER(FIND("@@",'Raw_Data (Before)'!H327)),ISNUMBER(FIND(" ",'Raw_Data (Before)'!H327)),ISERROR(FIND(".",'Raw_Data (Before)'!H327,FIND("@",'Raw_Data (Before)'!H327)))),"No","Yes")</f>
        <v>Yes</v>
      </c>
      <c r="L327" s="7" t="str">
        <f aca="false">IFERROR(INDEX(Lookup_Tables!$H$5:$H$9,MATCH(UPPER(TRIM('Raw_Data (Before)'!I327)),Lookup_Tables!$G$5:$G$9,0)),"UNMAPPED")</f>
        <v>Active</v>
      </c>
      <c r="M327" s="7" t="str">
        <f aca="false">IF(COUNTIF('Raw_Data (Before)'!$A$5:$A$424,A327)&gt;1,"YES","No")</f>
        <v>No</v>
      </c>
      <c r="N327" s="7" t="str">
        <f aca="false">IF(OR(C327="UNMAPPED",D327="UNMAPPED",F327="No",H327="No",J327="No",K327="No",L327="UNMAPPED",M327="YES"),"NEEDS REVIEW","OK")</f>
        <v>OK</v>
      </c>
    </row>
    <row r="328" customFormat="false" ht="15" hidden="false" customHeight="false" outlineLevel="0" collapsed="false">
      <c r="A328" s="7" t="str">
        <f aca="false">'Raw_Data (Before)'!A328</f>
        <v>EMP0355</v>
      </c>
      <c r="B328" s="7" t="str">
        <f aca="false">PROPER(TRIM('Raw_Data (Before)'!B328))</f>
        <v>Samuel Lawal</v>
      </c>
      <c r="C328" s="7" t="str">
        <f aca="false">IFERROR(INDEX(Lookup_Tables!$B$5:$B$24,MATCH(UPPER(TRIM('Raw_Data (Before)'!C328)),Lookup_Tables!$A$5:$A$24,0)),"UNMAPPED")</f>
        <v>Marketing</v>
      </c>
      <c r="D328" s="7" t="str">
        <f aca="false">IFERROR(INDEX(Lookup_Tables!$E$5:$E$8,MATCH(UPPER(TRIM('Raw_Data (Before)'!D328)),Lookup_Tables!$D$5:$D$8,0)),"UNMAPPED")</f>
        <v>Male</v>
      </c>
      <c r="E328" s="7" t="n">
        <f aca="false">'Raw_Data (Before)'!E328</f>
        <v>23</v>
      </c>
      <c r="F328" s="7" t="str">
        <f aca="false">IF(E328="","No",IF(OR(E328&lt;16,E328&gt;75),"No","Yes"))</f>
        <v>Yes</v>
      </c>
      <c r="G328" s="7" t="n">
        <f aca="false">IFERROR(VALUE(SUBSTITUTE(SUBSTITUTE('Raw_Data (Before)'!F328,"₦",""),",","")),"")</f>
        <v>864387</v>
      </c>
      <c r="H328" s="7" t="str">
        <f aca="false">IF(G328="","No",IF(OR(G328&lt;=0,G328&gt;5000000),"No","Yes"))</f>
        <v>Yes</v>
      </c>
      <c r="I328" s="8" t="n">
        <f aca="false">IFERROR(DATEVALUE('Raw_Data (Before)'!G328),"")</f>
        <v>43709</v>
      </c>
      <c r="J328" s="7" t="str">
        <f aca="false">IF(I328="","No","Yes")</f>
        <v>Yes</v>
      </c>
      <c r="K328" s="7" t="str">
        <f aca="false">IF(OR(ISERROR(FIND("@",'Raw_Data (Before)'!H328)),ISNUMBER(FIND("@@",'Raw_Data (Before)'!H328)),ISNUMBER(FIND(" ",'Raw_Data (Before)'!H328)),ISERROR(FIND(".",'Raw_Data (Before)'!H328,FIND("@",'Raw_Data (Before)'!H328)))),"No","Yes")</f>
        <v>Yes</v>
      </c>
      <c r="L328" s="7" t="str">
        <f aca="false">IFERROR(INDEX(Lookup_Tables!$H$5:$H$9,MATCH(UPPER(TRIM('Raw_Data (Before)'!I328)),Lookup_Tables!$G$5:$G$9,0)),"UNMAPPED")</f>
        <v>Active</v>
      </c>
      <c r="M328" s="7" t="str">
        <f aca="false">IF(COUNTIF('Raw_Data (Before)'!$A$5:$A$424,A328)&gt;1,"YES","No")</f>
        <v>No</v>
      </c>
      <c r="N328" s="7" t="str">
        <f aca="false">IF(OR(C328="UNMAPPED",D328="UNMAPPED",F328="No",H328="No",J328="No",K328="No",L328="UNMAPPED",M328="YES"),"NEEDS REVIEW","OK")</f>
        <v>OK</v>
      </c>
    </row>
    <row r="329" customFormat="false" ht="15" hidden="false" customHeight="false" outlineLevel="0" collapsed="false">
      <c r="A329" s="7" t="str">
        <f aca="false">'Raw_Data (Before)'!A329</f>
        <v>EMP0141</v>
      </c>
      <c r="B329" s="7" t="str">
        <f aca="false">PROPER(TRIM('Raw_Data (Before)'!B329))</f>
        <v>Kemi Nwosu</v>
      </c>
      <c r="C329" s="7" t="str">
        <f aca="false">IFERROR(INDEX(Lookup_Tables!$B$5:$B$24,MATCH(UPPER(TRIM('Raw_Data (Before)'!C329)),Lookup_Tables!$A$5:$A$24,0)),"UNMAPPED")</f>
        <v>Sales</v>
      </c>
      <c r="D329" s="7" t="str">
        <f aca="false">IFERROR(INDEX(Lookup_Tables!$E$5:$E$8,MATCH(UPPER(TRIM('Raw_Data (Before)'!D329)),Lookup_Tables!$D$5:$D$8,0)),"UNMAPPED")</f>
        <v>Female</v>
      </c>
      <c r="E329" s="7" t="n">
        <f aca="false">'Raw_Data (Before)'!E329</f>
        <v>52</v>
      </c>
      <c r="F329" s="7" t="str">
        <f aca="false">IF(E329="","No",IF(OR(E329&lt;16,E329&gt;75),"No","Yes"))</f>
        <v>Yes</v>
      </c>
      <c r="G329" s="7" t="n">
        <f aca="false">IFERROR(VALUE(SUBSTITUTE(SUBSTITUTE('Raw_Data (Before)'!F329,"₦",""),",","")),"")</f>
        <v>174717</v>
      </c>
      <c r="H329" s="7" t="str">
        <f aca="false">IF(G329="","No",IF(OR(G329&lt;=0,G329&gt;5000000),"No","Yes"))</f>
        <v>Yes</v>
      </c>
      <c r="I329" s="8" t="n">
        <f aca="false">IFERROR(DATEVALUE('Raw_Data (Before)'!G329),"")</f>
        <v>44474</v>
      </c>
      <c r="J329" s="7" t="str">
        <f aca="false">IF(I329="","No","Yes")</f>
        <v>Yes</v>
      </c>
      <c r="K329" s="7" t="str">
        <f aca="false">IF(OR(ISERROR(FIND("@",'Raw_Data (Before)'!H329)),ISNUMBER(FIND("@@",'Raw_Data (Before)'!H329)),ISNUMBER(FIND(" ",'Raw_Data (Before)'!H329)),ISERROR(FIND(".",'Raw_Data (Before)'!H329,FIND("@",'Raw_Data (Before)'!H329)))),"No","Yes")</f>
        <v>Yes</v>
      </c>
      <c r="L329" s="7" t="str">
        <f aca="false">IFERROR(INDEX(Lookup_Tables!$H$5:$H$9,MATCH(UPPER(TRIM('Raw_Data (Before)'!I329)),Lookup_Tables!$G$5:$G$9,0)),"UNMAPPED")</f>
        <v>Active</v>
      </c>
      <c r="M329" s="7" t="str">
        <f aca="false">IF(COUNTIF('Raw_Data (Before)'!$A$5:$A$424,A329)&gt;1,"YES","No")</f>
        <v>YES</v>
      </c>
      <c r="N329" s="7" t="str">
        <f aca="false">IF(OR(C329="UNMAPPED",D329="UNMAPPED",F329="No",H329="No",J329="No",K329="No",L329="UNMAPPED",M329="YES"),"NEEDS REVIEW","OK")</f>
        <v>NEEDS REVIEW</v>
      </c>
    </row>
    <row r="330" customFormat="false" ht="15" hidden="false" customHeight="false" outlineLevel="0" collapsed="false">
      <c r="A330" s="7" t="str">
        <f aca="false">'Raw_Data (Before)'!A330</f>
        <v>EMP0037</v>
      </c>
      <c r="B330" s="7" t="str">
        <f aca="false">PROPER(TRIM('Raw_Data (Before)'!B330))</f>
        <v>Yusuf Sani</v>
      </c>
      <c r="C330" s="7" t="str">
        <f aca="false">IFERROR(INDEX(Lookup_Tables!$B$5:$B$24,MATCH(UPPER(TRIM('Raw_Data (Before)'!C330)),Lookup_Tables!$A$5:$A$24,0)),"UNMAPPED")</f>
        <v>Finance</v>
      </c>
      <c r="D330" s="7" t="str">
        <f aca="false">IFERROR(INDEX(Lookup_Tables!$E$5:$E$8,MATCH(UPPER(TRIM('Raw_Data (Before)'!D330)),Lookup_Tables!$D$5:$D$8,0)),"UNMAPPED")</f>
        <v>Male</v>
      </c>
      <c r="E330" s="7" t="n">
        <f aca="false">'Raw_Data (Before)'!E330</f>
        <v>39</v>
      </c>
      <c r="F330" s="7" t="str">
        <f aca="false">IF(E330="","No",IF(OR(E330&lt;16,E330&gt;75),"No","Yes"))</f>
        <v>Yes</v>
      </c>
      <c r="G330" s="7" t="str">
        <f aca="false">IFERROR(VALUE(SUBSTITUTE(SUBSTITUTE('Raw_Data (Before)'!F330,"₦",""),",","")),"")</f>
        <v/>
      </c>
      <c r="H330" s="7" t="str">
        <f aca="false">IF(G330="","No",IF(OR(G330&lt;=0,G330&gt;5000000),"No","Yes"))</f>
        <v>No</v>
      </c>
      <c r="I330" s="8" t="n">
        <f aca="false">IFERROR(DATEVALUE('Raw_Data (Before)'!G330),"")</f>
        <v>43415</v>
      </c>
      <c r="J330" s="7" t="str">
        <f aca="false">IF(I330="","No","Yes")</f>
        <v>Yes</v>
      </c>
      <c r="K330" s="7" t="str">
        <f aca="false">IF(OR(ISERROR(FIND("@",'Raw_Data (Before)'!H330)),ISNUMBER(FIND("@@",'Raw_Data (Before)'!H330)),ISNUMBER(FIND(" ",'Raw_Data (Before)'!H330)),ISERROR(FIND(".",'Raw_Data (Before)'!H330,FIND("@",'Raw_Data (Before)'!H330)))),"No","Yes")</f>
        <v>Yes</v>
      </c>
      <c r="L330" s="7" t="str">
        <f aca="false">IFERROR(INDEX(Lookup_Tables!$H$5:$H$9,MATCH(UPPER(TRIM('Raw_Data (Before)'!I330)),Lookup_Tables!$G$5:$G$9,0)),"UNMAPPED")</f>
        <v>Active</v>
      </c>
      <c r="M330" s="7" t="str">
        <f aca="false">IF(COUNTIF('Raw_Data (Before)'!$A$5:$A$424,A330)&gt;1,"YES","No")</f>
        <v>No</v>
      </c>
      <c r="N330" s="7" t="str">
        <f aca="false">IF(OR(C330="UNMAPPED",D330="UNMAPPED",F330="No",H330="No",J330="No",K330="No",L330="UNMAPPED",M330="YES"),"NEEDS REVIEW","OK")</f>
        <v>NEEDS REVIEW</v>
      </c>
    </row>
    <row r="331" customFormat="false" ht="15" hidden="false" customHeight="false" outlineLevel="0" collapsed="false">
      <c r="A331" s="7" t="str">
        <f aca="false">'Raw_Data (Before)'!A331</f>
        <v>EMP0034</v>
      </c>
      <c r="B331" s="7" t="str">
        <f aca="false">PROPER(TRIM('Raw_Data (Before)'!B331))</f>
        <v>Emmanuel Bello</v>
      </c>
      <c r="C331" s="7" t="str">
        <f aca="false">IFERROR(INDEX(Lookup_Tables!$B$5:$B$24,MATCH(UPPER(TRIM('Raw_Data (Before)'!C331)),Lookup_Tables!$A$5:$A$24,0)),"UNMAPPED")</f>
        <v>Marketing</v>
      </c>
      <c r="D331" s="7" t="str">
        <f aca="false">IFERROR(INDEX(Lookup_Tables!$E$5:$E$8,MATCH(UPPER(TRIM('Raw_Data (Before)'!D331)),Lookup_Tables!$D$5:$D$8,0)),"UNMAPPED")</f>
        <v>Female</v>
      </c>
      <c r="E331" s="7" t="n">
        <f aca="false">'Raw_Data (Before)'!E331</f>
        <v>30</v>
      </c>
      <c r="F331" s="7" t="str">
        <f aca="false">IF(E331="","No",IF(OR(E331&lt;16,E331&gt;75),"No","Yes"))</f>
        <v>Yes</v>
      </c>
      <c r="G331" s="7" t="n">
        <f aca="false">IFERROR(VALUE(SUBSTITUTE(SUBSTITUTE('Raw_Data (Before)'!F331,"₦",""),",","")),"")</f>
        <v>125915</v>
      </c>
      <c r="H331" s="7" t="str">
        <f aca="false">IF(G331="","No",IF(OR(G331&lt;=0,G331&gt;5000000),"No","Yes"))</f>
        <v>Yes</v>
      </c>
      <c r="I331" s="8" t="n">
        <f aca="false">IFERROR(DATEVALUE('Raw_Data (Before)'!G331),"")</f>
        <v>43713</v>
      </c>
      <c r="J331" s="7" t="str">
        <f aca="false">IF(I331="","No","Yes")</f>
        <v>Yes</v>
      </c>
      <c r="K331" s="7" t="str">
        <f aca="false">IF(OR(ISERROR(FIND("@",'Raw_Data (Before)'!H331)),ISNUMBER(FIND("@@",'Raw_Data (Before)'!H331)),ISNUMBER(FIND(" ",'Raw_Data (Before)'!H331)),ISERROR(FIND(".",'Raw_Data (Before)'!H331,FIND("@",'Raw_Data (Before)'!H331)))),"No","Yes")</f>
        <v>Yes</v>
      </c>
      <c r="L331" s="7" t="str">
        <f aca="false">IFERROR(INDEX(Lookup_Tables!$H$5:$H$9,MATCH(UPPER(TRIM('Raw_Data (Before)'!I331)),Lookup_Tables!$G$5:$G$9,0)),"UNMAPPED")</f>
        <v>Active</v>
      </c>
      <c r="M331" s="7" t="str">
        <f aca="false">IF(COUNTIF('Raw_Data (Before)'!$A$5:$A$424,A331)&gt;1,"YES","No")</f>
        <v>No</v>
      </c>
      <c r="N331" s="7" t="str">
        <f aca="false">IF(OR(C331="UNMAPPED",D331="UNMAPPED",F331="No",H331="No",J331="No",K331="No",L331="UNMAPPED",M331="YES"),"NEEDS REVIEW","OK")</f>
        <v>OK</v>
      </c>
    </row>
    <row r="332" customFormat="false" ht="15" hidden="false" customHeight="false" outlineLevel="0" collapsed="false">
      <c r="A332" s="7" t="str">
        <f aca="false">'Raw_Data (Before)'!A332</f>
        <v>EMP0191</v>
      </c>
      <c r="B332" s="7" t="str">
        <f aca="false">PROPER(TRIM('Raw_Data (Before)'!B332))</f>
        <v>James Yakubu</v>
      </c>
      <c r="C332" s="7" t="str">
        <f aca="false">IFERROR(INDEX(Lookup_Tables!$B$5:$B$24,MATCH(UPPER(TRIM('Raw_Data (Before)'!C332)),Lookup_Tables!$A$5:$A$24,0)),"UNMAPPED")</f>
        <v>Marketing</v>
      </c>
      <c r="D332" s="7" t="str">
        <f aca="false">IFERROR(INDEX(Lookup_Tables!$E$5:$E$8,MATCH(UPPER(TRIM('Raw_Data (Before)'!D332)),Lookup_Tables!$D$5:$D$8,0)),"UNMAPPED")</f>
        <v>Female</v>
      </c>
      <c r="E332" s="7" t="n">
        <f aca="false">'Raw_Data (Before)'!E332</f>
        <v>49</v>
      </c>
      <c r="F332" s="7" t="str">
        <f aca="false">IF(E332="","No",IF(OR(E332&lt;16,E332&gt;75),"No","Yes"))</f>
        <v>Yes</v>
      </c>
      <c r="G332" s="7" t="n">
        <f aca="false">IFERROR(VALUE(SUBSTITUTE(SUBSTITUTE('Raw_Data (Before)'!F332,"₦",""),",","")),"")</f>
        <v>-804942</v>
      </c>
      <c r="H332" s="7" t="str">
        <f aca="false">IF(G332="","No",IF(OR(G332&lt;=0,G332&gt;5000000),"No","Yes"))</f>
        <v>No</v>
      </c>
      <c r="I332" s="8" t="str">
        <f aca="false">IFERROR(DATEVALUE('Raw_Data (Before)'!G332),"")</f>
        <v/>
      </c>
      <c r="J332" s="7" t="str">
        <f aca="false">IF(I332="","No","Yes")</f>
        <v>No</v>
      </c>
      <c r="K332" s="7" t="str">
        <f aca="false">IF(OR(ISERROR(FIND("@",'Raw_Data (Before)'!H332)),ISNUMBER(FIND("@@",'Raw_Data (Before)'!H332)),ISNUMBER(FIND(" ",'Raw_Data (Before)'!H332)),ISERROR(FIND(".",'Raw_Data (Before)'!H332,FIND("@",'Raw_Data (Before)'!H332)))),"No","Yes")</f>
        <v>Yes</v>
      </c>
      <c r="L332" s="7" t="str">
        <f aca="false">IFERROR(INDEX(Lookup_Tables!$H$5:$H$9,MATCH(UPPER(TRIM('Raw_Data (Before)'!I332)),Lookup_Tables!$G$5:$G$9,0)),"UNMAPPED")</f>
        <v>Active</v>
      </c>
      <c r="M332" s="7" t="str">
        <f aca="false">IF(COUNTIF('Raw_Data (Before)'!$A$5:$A$424,A332)&gt;1,"YES","No")</f>
        <v>No</v>
      </c>
      <c r="N332" s="7" t="str">
        <f aca="false">IF(OR(C332="UNMAPPED",D332="UNMAPPED",F332="No",H332="No",J332="No",K332="No",L332="UNMAPPED",M332="YES"),"NEEDS REVIEW","OK")</f>
        <v>NEEDS REVIEW</v>
      </c>
    </row>
    <row r="333" customFormat="false" ht="15" hidden="false" customHeight="false" outlineLevel="0" collapsed="false">
      <c r="A333" s="7" t="str">
        <f aca="false">'Raw_Data (Before)'!A333</f>
        <v>EMP0173</v>
      </c>
      <c r="B333" s="7" t="str">
        <f aca="false">PROPER(TRIM('Raw_Data (Before)'!B333))</f>
        <v>Fatima Lawal</v>
      </c>
      <c r="C333" s="7" t="str">
        <f aca="false">IFERROR(INDEX(Lookup_Tables!$B$5:$B$24,MATCH(UPPER(TRIM('Raw_Data (Before)'!C333)),Lookup_Tables!$A$5:$A$24,0)),"UNMAPPED")</f>
        <v>Marketing</v>
      </c>
      <c r="D333" s="7" t="str">
        <f aca="false">IFERROR(INDEX(Lookup_Tables!$E$5:$E$8,MATCH(UPPER(TRIM('Raw_Data (Before)'!D333)),Lookup_Tables!$D$5:$D$8,0)),"UNMAPPED")</f>
        <v>Male</v>
      </c>
      <c r="E333" s="7" t="n">
        <f aca="false">'Raw_Data (Before)'!E333</f>
        <v>30</v>
      </c>
      <c r="F333" s="7" t="str">
        <f aca="false">IF(E333="","No",IF(OR(E333&lt;16,E333&gt;75),"No","Yes"))</f>
        <v>Yes</v>
      </c>
      <c r="G333" s="7" t="n">
        <f aca="false">IFERROR(VALUE(SUBSTITUTE(SUBSTITUTE('Raw_Data (Before)'!F333,"₦",""),",","")),"")</f>
        <v>405885</v>
      </c>
      <c r="H333" s="7" t="str">
        <f aca="false">IF(G333="","No",IF(OR(G333&lt;=0,G333&gt;5000000),"No","Yes"))</f>
        <v>Yes</v>
      </c>
      <c r="I333" s="8" t="n">
        <f aca="false">IFERROR(DATEVALUE('Raw_Data (Before)'!G333),"")</f>
        <v>43218</v>
      </c>
      <c r="J333" s="7" t="str">
        <f aca="false">IF(I333="","No","Yes")</f>
        <v>Yes</v>
      </c>
      <c r="K333" s="7" t="str">
        <f aca="false">IF(OR(ISERROR(FIND("@",'Raw_Data (Before)'!H333)),ISNUMBER(FIND("@@",'Raw_Data (Before)'!H333)),ISNUMBER(FIND(" ",'Raw_Data (Before)'!H333)),ISERROR(FIND(".",'Raw_Data (Before)'!H333,FIND("@",'Raw_Data (Before)'!H333)))),"No","Yes")</f>
        <v>Yes</v>
      </c>
      <c r="L333" s="7" t="str">
        <f aca="false">IFERROR(INDEX(Lookup_Tables!$H$5:$H$9,MATCH(UPPER(TRIM('Raw_Data (Before)'!I333)),Lookup_Tables!$G$5:$G$9,0)),"UNMAPPED")</f>
        <v>Inactive</v>
      </c>
      <c r="M333" s="7" t="str">
        <f aca="false">IF(COUNTIF('Raw_Data (Before)'!$A$5:$A$424,A333)&gt;1,"YES","No")</f>
        <v>No</v>
      </c>
      <c r="N333" s="7" t="str">
        <f aca="false">IF(OR(C333="UNMAPPED",D333="UNMAPPED",F333="No",H333="No",J333="No",K333="No",L333="UNMAPPED",M333="YES"),"NEEDS REVIEW","OK")</f>
        <v>OK</v>
      </c>
    </row>
    <row r="334" customFormat="false" ht="15" hidden="false" customHeight="false" outlineLevel="0" collapsed="false">
      <c r="A334" s="7" t="str">
        <f aca="false">'Raw_Data (Before)'!A334</f>
        <v>EMP0068</v>
      </c>
      <c r="B334" s="7" t="str">
        <f aca="false">PROPER(TRIM('Raw_Data (Before)'!B334))</f>
        <v>Peter Adamu</v>
      </c>
      <c r="C334" s="7" t="str">
        <f aca="false">IFERROR(INDEX(Lookup_Tables!$B$5:$B$24,MATCH(UPPER(TRIM('Raw_Data (Before)'!C334)),Lookup_Tables!$A$5:$A$24,0)),"UNMAPPED")</f>
        <v>Sales</v>
      </c>
      <c r="D334" s="7" t="str">
        <f aca="false">IFERROR(INDEX(Lookup_Tables!$E$5:$E$8,MATCH(UPPER(TRIM('Raw_Data (Before)'!D334)),Lookup_Tables!$D$5:$D$8,0)),"UNMAPPED")</f>
        <v>Female</v>
      </c>
      <c r="E334" s="7" t="n">
        <f aca="false">'Raw_Data (Before)'!E334</f>
        <v>24</v>
      </c>
      <c r="F334" s="7" t="str">
        <f aca="false">IF(E334="","No",IF(OR(E334&lt;16,E334&gt;75),"No","Yes"))</f>
        <v>Yes</v>
      </c>
      <c r="G334" s="7" t="n">
        <f aca="false">IFERROR(VALUE(SUBSTITUTE(SUBSTITUTE('Raw_Data (Before)'!F334,"₦",""),",","")),"")</f>
        <v>407535</v>
      </c>
      <c r="H334" s="7" t="str">
        <f aca="false">IF(G334="","No",IF(OR(G334&lt;=0,G334&gt;5000000),"No","Yes"))</f>
        <v>Yes</v>
      </c>
      <c r="I334" s="8" t="n">
        <f aca="false">IFERROR(DATEVALUE('Raw_Data (Before)'!G334),"")</f>
        <v>45836</v>
      </c>
      <c r="J334" s="7" t="str">
        <f aca="false">IF(I334="","No","Yes")</f>
        <v>Yes</v>
      </c>
      <c r="K334" s="7" t="str">
        <f aca="false">IF(OR(ISERROR(FIND("@",'Raw_Data (Before)'!H334)),ISNUMBER(FIND("@@",'Raw_Data (Before)'!H334)),ISNUMBER(FIND(" ",'Raw_Data (Before)'!H334)),ISERROR(FIND(".",'Raw_Data (Before)'!H334,FIND("@",'Raw_Data (Before)'!H334)))),"No","Yes")</f>
        <v>Yes</v>
      </c>
      <c r="L334" s="7" t="str">
        <f aca="false">IFERROR(INDEX(Lookup_Tables!$H$5:$H$9,MATCH(UPPER(TRIM('Raw_Data (Before)'!I334)),Lookup_Tables!$G$5:$G$9,0)),"UNMAPPED")</f>
        <v>Active</v>
      </c>
      <c r="M334" s="7" t="str">
        <f aca="false">IF(COUNTIF('Raw_Data (Before)'!$A$5:$A$424,A334)&gt;1,"YES","No")</f>
        <v>No</v>
      </c>
      <c r="N334" s="7" t="str">
        <f aca="false">IF(OR(C334="UNMAPPED",D334="UNMAPPED",F334="No",H334="No",J334="No",K334="No",L334="UNMAPPED",M334="YES"),"NEEDS REVIEW","OK")</f>
        <v>OK</v>
      </c>
    </row>
    <row r="335" customFormat="false" ht="15" hidden="false" customHeight="false" outlineLevel="0" collapsed="false">
      <c r="A335" s="7" t="str">
        <f aca="false">'Raw_Data (Before)'!A335</f>
        <v>EMP0014</v>
      </c>
      <c r="B335" s="7" t="str">
        <f aca="false">PROPER(TRIM('Raw_Data (Before)'!B335))</f>
        <v>Mary Ajayi</v>
      </c>
      <c r="C335" s="7" t="str">
        <f aca="false">IFERROR(INDEX(Lookup_Tables!$B$5:$B$24,MATCH(UPPER(TRIM('Raw_Data (Before)'!C335)),Lookup_Tables!$A$5:$A$24,0)),"UNMAPPED")</f>
        <v>IT</v>
      </c>
      <c r="D335" s="7" t="str">
        <f aca="false">IFERROR(INDEX(Lookup_Tables!$E$5:$E$8,MATCH(UPPER(TRIM('Raw_Data (Before)'!D335)),Lookup_Tables!$D$5:$D$8,0)),"UNMAPPED")</f>
        <v>Female</v>
      </c>
      <c r="E335" s="7" t="n">
        <f aca="false">'Raw_Data (Before)'!E335</f>
        <v>35</v>
      </c>
      <c r="F335" s="7" t="str">
        <f aca="false">IF(E335="","No",IF(OR(E335&lt;16,E335&gt;75),"No","Yes"))</f>
        <v>Yes</v>
      </c>
      <c r="G335" s="7" t="n">
        <f aca="false">IFERROR(VALUE(SUBSTITUTE(SUBSTITUTE('Raw_Data (Before)'!F335,"₦",""),",","")),"")</f>
        <v>289629</v>
      </c>
      <c r="H335" s="7" t="str">
        <f aca="false">IF(G335="","No",IF(OR(G335&lt;=0,G335&gt;5000000),"No","Yes"))</f>
        <v>Yes</v>
      </c>
      <c r="I335" s="8" t="n">
        <f aca="false">IFERROR(DATEVALUE('Raw_Data (Before)'!G335),"")</f>
        <v>44081</v>
      </c>
      <c r="J335" s="7" t="str">
        <f aca="false">IF(I335="","No","Yes")</f>
        <v>Yes</v>
      </c>
      <c r="K335" s="7" t="str">
        <f aca="false">IF(OR(ISERROR(FIND("@",'Raw_Data (Before)'!H335)),ISNUMBER(FIND("@@",'Raw_Data (Before)'!H335)),ISNUMBER(FIND(" ",'Raw_Data (Before)'!H335)),ISERROR(FIND(".",'Raw_Data (Before)'!H335,FIND("@",'Raw_Data (Before)'!H335)))),"No","Yes")</f>
        <v>Yes</v>
      </c>
      <c r="L335" s="7" t="str">
        <f aca="false">IFERROR(INDEX(Lookup_Tables!$H$5:$H$9,MATCH(UPPER(TRIM('Raw_Data (Before)'!I335)),Lookup_Tables!$G$5:$G$9,0)),"UNMAPPED")</f>
        <v>Active</v>
      </c>
      <c r="M335" s="7" t="str">
        <f aca="false">IF(COUNTIF('Raw_Data (Before)'!$A$5:$A$424,A335)&gt;1,"YES","No")</f>
        <v>No</v>
      </c>
      <c r="N335" s="7" t="str">
        <f aca="false">IF(OR(C335="UNMAPPED",D335="UNMAPPED",F335="No",H335="No",J335="No",K335="No",L335="UNMAPPED",M335="YES"),"NEEDS REVIEW","OK")</f>
        <v>OK</v>
      </c>
    </row>
    <row r="336" customFormat="false" ht="15" hidden="false" customHeight="false" outlineLevel="0" collapsed="false">
      <c r="A336" s="7" t="str">
        <f aca="false">'Raw_Data (Before)'!A336</f>
        <v>EMP0309</v>
      </c>
      <c r="B336" s="7" t="str">
        <f aca="false">PROPER(TRIM('Raw_Data (Before)'!B336))</f>
        <v>Victor Duru</v>
      </c>
      <c r="C336" s="7" t="str">
        <f aca="false">IFERROR(INDEX(Lookup_Tables!$B$5:$B$24,MATCH(UPPER(TRIM('Raw_Data (Before)'!C336)),Lookup_Tables!$A$5:$A$24,0)),"UNMAPPED")</f>
        <v>Marketing</v>
      </c>
      <c r="D336" s="7" t="str">
        <f aca="false">IFERROR(INDEX(Lookup_Tables!$E$5:$E$8,MATCH(UPPER(TRIM('Raw_Data (Before)'!D336)),Lookup_Tables!$D$5:$D$8,0)),"UNMAPPED")</f>
        <v>Male</v>
      </c>
      <c r="E336" s="7" t="n">
        <f aca="false">'Raw_Data (Before)'!E336</f>
        <v>52</v>
      </c>
      <c r="F336" s="7" t="str">
        <f aca="false">IF(E336="","No",IF(OR(E336&lt;16,E336&gt;75),"No","Yes"))</f>
        <v>Yes</v>
      </c>
      <c r="G336" s="7" t="n">
        <f aca="false">IFERROR(VALUE(SUBSTITUTE(SUBSTITUTE('Raw_Data (Before)'!F336,"₦",""),",","")),"")</f>
        <v>785263</v>
      </c>
      <c r="H336" s="7" t="str">
        <f aca="false">IF(G336="","No",IF(OR(G336&lt;=0,G336&gt;5000000),"No","Yes"))</f>
        <v>Yes</v>
      </c>
      <c r="I336" s="8" t="n">
        <f aca="false">IFERROR(DATEVALUE('Raw_Data (Before)'!G336),"")</f>
        <v>43370</v>
      </c>
      <c r="J336" s="7" t="str">
        <f aca="false">IF(I336="","No","Yes")</f>
        <v>Yes</v>
      </c>
      <c r="K336" s="7" t="str">
        <f aca="false">IF(OR(ISERROR(FIND("@",'Raw_Data (Before)'!H336)),ISNUMBER(FIND("@@",'Raw_Data (Before)'!H336)),ISNUMBER(FIND(" ",'Raw_Data (Before)'!H336)),ISERROR(FIND(".",'Raw_Data (Before)'!H336,FIND("@",'Raw_Data (Before)'!H336)))),"No","Yes")</f>
        <v>Yes</v>
      </c>
      <c r="L336" s="7" t="str">
        <f aca="false">IFERROR(INDEX(Lookup_Tables!$H$5:$H$9,MATCH(UPPER(TRIM('Raw_Data (Before)'!I336)),Lookup_Tables!$G$5:$G$9,0)),"UNMAPPED")</f>
        <v>Inactive</v>
      </c>
      <c r="M336" s="7" t="str">
        <f aca="false">IF(COUNTIF('Raw_Data (Before)'!$A$5:$A$424,A336)&gt;1,"YES","No")</f>
        <v>YES</v>
      </c>
      <c r="N336" s="7" t="str">
        <f aca="false">IF(OR(C336="UNMAPPED",D336="UNMAPPED",F336="No",H336="No",J336="No",K336="No",L336="UNMAPPED",M336="YES"),"NEEDS REVIEW","OK")</f>
        <v>NEEDS REVIEW</v>
      </c>
    </row>
    <row r="337" customFormat="false" ht="15" hidden="false" customHeight="false" outlineLevel="0" collapsed="false">
      <c r="A337" s="7" t="str">
        <f aca="false">'Raw_Data (Before)'!A337</f>
        <v>EMP0174</v>
      </c>
      <c r="B337" s="7" t="str">
        <f aca="false">PROPER(TRIM('Raw_Data (Before)'!B337))</f>
        <v>David Umeh</v>
      </c>
      <c r="C337" s="7" t="str">
        <f aca="false">IFERROR(INDEX(Lookup_Tables!$B$5:$B$24,MATCH(UPPER(TRIM('Raw_Data (Before)'!C337)),Lookup_Tables!$A$5:$A$24,0)),"UNMAPPED")</f>
        <v>Finance</v>
      </c>
      <c r="D337" s="7" t="str">
        <f aca="false">IFERROR(INDEX(Lookup_Tables!$E$5:$E$8,MATCH(UPPER(TRIM('Raw_Data (Before)'!D337)),Lookup_Tables!$D$5:$D$8,0)),"UNMAPPED")</f>
        <v>Male</v>
      </c>
      <c r="E337" s="7" t="n">
        <f aca="false">'Raw_Data (Before)'!E337</f>
        <v>40</v>
      </c>
      <c r="F337" s="7" t="str">
        <f aca="false">IF(E337="","No",IF(OR(E337&lt;16,E337&gt;75),"No","Yes"))</f>
        <v>Yes</v>
      </c>
      <c r="G337" s="7" t="n">
        <f aca="false">IFERROR(VALUE(SUBSTITUTE(SUBSTITUTE('Raw_Data (Before)'!F337,"₦",""),",","")),"")</f>
        <v>172211</v>
      </c>
      <c r="H337" s="7" t="str">
        <f aca="false">IF(G337="","No",IF(OR(G337&lt;=0,G337&gt;5000000),"No","Yes"))</f>
        <v>Yes</v>
      </c>
      <c r="I337" s="8" t="n">
        <f aca="false">IFERROR(DATEVALUE('Raw_Data (Before)'!G337),"")</f>
        <v>44201</v>
      </c>
      <c r="J337" s="7" t="str">
        <f aca="false">IF(I337="","No","Yes")</f>
        <v>Yes</v>
      </c>
      <c r="K337" s="7" t="str">
        <f aca="false">IF(OR(ISERROR(FIND("@",'Raw_Data (Before)'!H337)),ISNUMBER(FIND("@@",'Raw_Data (Before)'!H337)),ISNUMBER(FIND(" ",'Raw_Data (Before)'!H337)),ISERROR(FIND(".",'Raw_Data (Before)'!H337,FIND("@",'Raw_Data (Before)'!H337)))),"No","Yes")</f>
        <v>Yes</v>
      </c>
      <c r="L337" s="7" t="str">
        <f aca="false">IFERROR(INDEX(Lookup_Tables!$H$5:$H$9,MATCH(UPPER(TRIM('Raw_Data (Before)'!I337)),Lookup_Tables!$G$5:$G$9,0)),"UNMAPPED")</f>
        <v>Inactive</v>
      </c>
      <c r="M337" s="7" t="str">
        <f aca="false">IF(COUNTIF('Raw_Data (Before)'!$A$5:$A$424,A337)&gt;1,"YES","No")</f>
        <v>No</v>
      </c>
      <c r="N337" s="7" t="str">
        <f aca="false">IF(OR(C337="UNMAPPED",D337="UNMAPPED",F337="No",H337="No",J337="No",K337="No",L337="UNMAPPED",M337="YES"),"NEEDS REVIEW","OK")</f>
        <v>OK</v>
      </c>
    </row>
    <row r="338" customFormat="false" ht="15" hidden="false" customHeight="false" outlineLevel="0" collapsed="false">
      <c r="A338" s="7" t="str">
        <f aca="false">'Raw_Data (Before)'!A338</f>
        <v>EMP0325</v>
      </c>
      <c r="B338" s="7" t="str">
        <f aca="false">PROPER(TRIM('Raw_Data (Before)'!B338))</f>
        <v>Chiamaka Umeh</v>
      </c>
      <c r="C338" s="7" t="str">
        <f aca="false">IFERROR(INDEX(Lookup_Tables!$B$5:$B$24,MATCH(UPPER(TRIM('Raw_Data (Before)'!C338)),Lookup_Tables!$A$5:$A$24,0)),"UNMAPPED")</f>
        <v>Marketing</v>
      </c>
      <c r="D338" s="7" t="str">
        <f aca="false">IFERROR(INDEX(Lookup_Tables!$E$5:$E$8,MATCH(UPPER(TRIM('Raw_Data (Before)'!D338)),Lookup_Tables!$D$5:$D$8,0)),"UNMAPPED")</f>
        <v>Male</v>
      </c>
      <c r="E338" s="7" t="n">
        <f aca="false">'Raw_Data (Before)'!E338</f>
        <v>50</v>
      </c>
      <c r="F338" s="7" t="str">
        <f aca="false">IF(E338="","No",IF(OR(E338&lt;16,E338&gt;75),"No","Yes"))</f>
        <v>Yes</v>
      </c>
      <c r="G338" s="7" t="n">
        <f aca="false">IFERROR(VALUE(SUBSTITUTE(SUBSTITUTE('Raw_Data (Before)'!F338,"₦",""),",","")),"")</f>
        <v>724580</v>
      </c>
      <c r="H338" s="7" t="str">
        <f aca="false">IF(G338="","No",IF(OR(G338&lt;=0,G338&gt;5000000),"No","Yes"))</f>
        <v>Yes</v>
      </c>
      <c r="I338" s="8" t="n">
        <f aca="false">IFERROR(DATEVALUE('Raw_Data (Before)'!G338),"")</f>
        <v>45201</v>
      </c>
      <c r="J338" s="7" t="str">
        <f aca="false">IF(I338="","No","Yes")</f>
        <v>Yes</v>
      </c>
      <c r="K338" s="7" t="str">
        <f aca="false">IF(OR(ISERROR(FIND("@",'Raw_Data (Before)'!H338)),ISNUMBER(FIND("@@",'Raw_Data (Before)'!H338)),ISNUMBER(FIND(" ",'Raw_Data (Before)'!H338)),ISERROR(FIND(".",'Raw_Data (Before)'!H338,FIND("@",'Raw_Data (Before)'!H338)))),"No","Yes")</f>
        <v>Yes</v>
      </c>
      <c r="L338" s="7" t="str">
        <f aca="false">IFERROR(INDEX(Lookup_Tables!$H$5:$H$9,MATCH(UPPER(TRIM('Raw_Data (Before)'!I338)),Lookup_Tables!$G$5:$G$9,0)),"UNMAPPED")</f>
        <v>Active</v>
      </c>
      <c r="M338" s="7" t="str">
        <f aca="false">IF(COUNTIF('Raw_Data (Before)'!$A$5:$A$424,A338)&gt;1,"YES","No")</f>
        <v>No</v>
      </c>
      <c r="N338" s="7" t="str">
        <f aca="false">IF(OR(C338="UNMAPPED",D338="UNMAPPED",F338="No",H338="No",J338="No",K338="No",L338="UNMAPPED",M338="YES"),"NEEDS REVIEW","OK")</f>
        <v>OK</v>
      </c>
    </row>
    <row r="339" customFormat="false" ht="15" hidden="false" customHeight="false" outlineLevel="0" collapsed="false">
      <c r="A339" s="7" t="str">
        <f aca="false">'Raw_Data (Before)'!A339</f>
        <v>EMP0390</v>
      </c>
      <c r="B339" s="7" t="str">
        <f aca="false">PROPER(TRIM('Raw_Data (Before)'!B339))</f>
        <v>Chiamaka Abubakar</v>
      </c>
      <c r="C339" s="7" t="str">
        <f aca="false">IFERROR(INDEX(Lookup_Tables!$B$5:$B$24,MATCH(UPPER(TRIM('Raw_Data (Before)'!C339)),Lookup_Tables!$A$5:$A$24,0)),"UNMAPPED")</f>
        <v>IT</v>
      </c>
      <c r="D339" s="7" t="str">
        <f aca="false">IFERROR(INDEX(Lookup_Tables!$E$5:$E$8,MATCH(UPPER(TRIM('Raw_Data (Before)'!D339)),Lookup_Tables!$D$5:$D$8,0)),"UNMAPPED")</f>
        <v>Female</v>
      </c>
      <c r="E339" s="7" t="n">
        <f aca="false">'Raw_Data (Before)'!E339</f>
        <v>34</v>
      </c>
      <c r="F339" s="7" t="str">
        <f aca="false">IF(E339="","No",IF(OR(E339&lt;16,E339&gt;75),"No","Yes"))</f>
        <v>Yes</v>
      </c>
      <c r="G339" s="7" t="n">
        <f aca="false">IFERROR(VALUE(SUBSTITUTE(SUBSTITUTE('Raw_Data (Before)'!F339,"₦",""),",","")),"")</f>
        <v>844702</v>
      </c>
      <c r="H339" s="7" t="str">
        <f aca="false">IF(G339="","No",IF(OR(G339&lt;=0,G339&gt;5000000),"No","Yes"))</f>
        <v>Yes</v>
      </c>
      <c r="I339" s="8" t="n">
        <f aca="false">IFERROR(DATEVALUE('Raw_Data (Before)'!G339),"")</f>
        <v>44152</v>
      </c>
      <c r="J339" s="7" t="str">
        <f aca="false">IF(I339="","No","Yes")</f>
        <v>Yes</v>
      </c>
      <c r="K339" s="7" t="str">
        <f aca="false">IF(OR(ISERROR(FIND("@",'Raw_Data (Before)'!H339)),ISNUMBER(FIND("@@",'Raw_Data (Before)'!H339)),ISNUMBER(FIND(" ",'Raw_Data (Before)'!H339)),ISERROR(FIND(".",'Raw_Data (Before)'!H339,FIND("@",'Raw_Data (Before)'!H339)))),"No","Yes")</f>
        <v>Yes</v>
      </c>
      <c r="L339" s="7" t="str">
        <f aca="false">IFERROR(INDEX(Lookup_Tables!$H$5:$H$9,MATCH(UPPER(TRIM('Raw_Data (Before)'!I339)),Lookup_Tables!$G$5:$G$9,0)),"UNMAPPED")</f>
        <v>Active</v>
      </c>
      <c r="M339" s="7" t="str">
        <f aca="false">IF(COUNTIF('Raw_Data (Before)'!$A$5:$A$424,A339)&gt;1,"YES","No")</f>
        <v>YES</v>
      </c>
      <c r="N339" s="7" t="str">
        <f aca="false">IF(OR(C339="UNMAPPED",D339="UNMAPPED",F339="No",H339="No",J339="No",K339="No",L339="UNMAPPED",M339="YES"),"NEEDS REVIEW","OK")</f>
        <v>NEEDS REVIEW</v>
      </c>
    </row>
    <row r="340" customFormat="false" ht="15" hidden="false" customHeight="false" outlineLevel="0" collapsed="false">
      <c r="A340" s="7" t="str">
        <f aca="false">'Raw_Data (Before)'!A340</f>
        <v>EMP0104</v>
      </c>
      <c r="B340" s="7" t="str">
        <f aca="false">PROPER(TRIM('Raw_Data (Before)'!B340))</f>
        <v>Emmanuel Umeh</v>
      </c>
      <c r="C340" s="7" t="str">
        <f aca="false">IFERROR(INDEX(Lookup_Tables!$B$5:$B$24,MATCH(UPPER(TRIM('Raw_Data (Before)'!C340)),Lookup_Tables!$A$5:$A$24,0)),"UNMAPPED")</f>
        <v>HR</v>
      </c>
      <c r="D340" s="7" t="str">
        <f aca="false">IFERROR(INDEX(Lookup_Tables!$E$5:$E$8,MATCH(UPPER(TRIM('Raw_Data (Before)'!D340)),Lookup_Tables!$D$5:$D$8,0)),"UNMAPPED")</f>
        <v>Male</v>
      </c>
      <c r="E340" s="7" t="n">
        <f aca="false">'Raw_Data (Before)'!E340</f>
        <v>37</v>
      </c>
      <c r="F340" s="7" t="str">
        <f aca="false">IF(E340="","No",IF(OR(E340&lt;16,E340&gt;75),"No","Yes"))</f>
        <v>Yes</v>
      </c>
      <c r="G340" s="7" t="n">
        <f aca="false">IFERROR(VALUE(SUBSTITUTE(SUBSTITUTE('Raw_Data (Before)'!F340,"₦",""),",","")),"")</f>
        <v>367684</v>
      </c>
      <c r="H340" s="7" t="str">
        <f aca="false">IF(G340="","No",IF(OR(G340&lt;=0,G340&gt;5000000),"No","Yes"))</f>
        <v>Yes</v>
      </c>
      <c r="I340" s="8" t="n">
        <f aca="false">IFERROR(DATEVALUE('Raw_Data (Before)'!G340),"")</f>
        <v>45615</v>
      </c>
      <c r="J340" s="7" t="str">
        <f aca="false">IF(I340="","No","Yes")</f>
        <v>Yes</v>
      </c>
      <c r="K340" s="7" t="str">
        <f aca="false">IF(OR(ISERROR(FIND("@",'Raw_Data (Before)'!H340)),ISNUMBER(FIND("@@",'Raw_Data (Before)'!H340)),ISNUMBER(FIND(" ",'Raw_Data (Before)'!H340)),ISERROR(FIND(".",'Raw_Data (Before)'!H340,FIND("@",'Raw_Data (Before)'!H340)))),"No","Yes")</f>
        <v>No</v>
      </c>
      <c r="L340" s="7" t="str">
        <f aca="false">IFERROR(INDEX(Lookup_Tables!$H$5:$H$9,MATCH(UPPER(TRIM('Raw_Data (Before)'!I340)),Lookup_Tables!$G$5:$G$9,0)),"UNMAPPED")</f>
        <v>Active</v>
      </c>
      <c r="M340" s="7" t="str">
        <f aca="false">IF(COUNTIF('Raw_Data (Before)'!$A$5:$A$424,A340)&gt;1,"YES","No")</f>
        <v>No</v>
      </c>
      <c r="N340" s="7" t="str">
        <f aca="false">IF(OR(C340="UNMAPPED",D340="UNMAPPED",F340="No",H340="No",J340="No",K340="No",L340="UNMAPPED",M340="YES"),"NEEDS REVIEW","OK")</f>
        <v>NEEDS REVIEW</v>
      </c>
    </row>
    <row r="341" customFormat="false" ht="15" hidden="false" customHeight="false" outlineLevel="0" collapsed="false">
      <c r="A341" s="7" t="str">
        <f aca="false">'Raw_Data (Before)'!A341</f>
        <v>EMP0094</v>
      </c>
      <c r="B341" s="7" t="str">
        <f aca="false">PROPER(TRIM('Raw_Data (Before)'!B341))</f>
        <v>Emmanuel Nwosu</v>
      </c>
      <c r="C341" s="7" t="str">
        <f aca="false">IFERROR(INDEX(Lookup_Tables!$B$5:$B$24,MATCH(UPPER(TRIM('Raw_Data (Before)'!C341)),Lookup_Tables!$A$5:$A$24,0)),"UNMAPPED")</f>
        <v>Operations</v>
      </c>
      <c r="D341" s="7" t="str">
        <f aca="false">IFERROR(INDEX(Lookup_Tables!$E$5:$E$8,MATCH(UPPER(TRIM('Raw_Data (Before)'!D341)),Lookup_Tables!$D$5:$D$8,0)),"UNMAPPED")</f>
        <v>Male</v>
      </c>
      <c r="E341" s="7" t="n">
        <f aca="false">'Raw_Data (Before)'!E341</f>
        <v>53</v>
      </c>
      <c r="F341" s="7" t="str">
        <f aca="false">IF(E341="","No",IF(OR(E341&lt;16,E341&gt;75),"No","Yes"))</f>
        <v>Yes</v>
      </c>
      <c r="G341" s="7" t="n">
        <f aca="false">IFERROR(VALUE(SUBSTITUTE(SUBSTITUTE('Raw_Data (Before)'!F341,"₦",""),",","")),"")</f>
        <v>353232</v>
      </c>
      <c r="H341" s="7" t="str">
        <f aca="false">IF(G341="","No",IF(OR(G341&lt;=0,G341&gt;5000000),"No","Yes"))</f>
        <v>Yes</v>
      </c>
      <c r="I341" s="8" t="n">
        <f aca="false">IFERROR(DATEVALUE('Raw_Data (Before)'!G341),"")</f>
        <v>43856</v>
      </c>
      <c r="J341" s="7" t="str">
        <f aca="false">IF(I341="","No","Yes")</f>
        <v>Yes</v>
      </c>
      <c r="K341" s="7" t="str">
        <f aca="false">IF(OR(ISERROR(FIND("@",'Raw_Data (Before)'!H341)),ISNUMBER(FIND("@@",'Raw_Data (Before)'!H341)),ISNUMBER(FIND(" ",'Raw_Data (Before)'!H341)),ISERROR(FIND(".",'Raw_Data (Before)'!H341,FIND("@",'Raw_Data (Before)'!H341)))),"No","Yes")</f>
        <v>Yes</v>
      </c>
      <c r="L341" s="7" t="str">
        <f aca="false">IFERROR(INDEX(Lookup_Tables!$H$5:$H$9,MATCH(UPPER(TRIM('Raw_Data (Before)'!I341)),Lookup_Tables!$G$5:$G$9,0)),"UNMAPPED")</f>
        <v>Active</v>
      </c>
      <c r="M341" s="7" t="str">
        <f aca="false">IF(COUNTIF('Raw_Data (Before)'!$A$5:$A$424,A341)&gt;1,"YES","No")</f>
        <v>No</v>
      </c>
      <c r="N341" s="7" t="str">
        <f aca="false">IF(OR(C341="UNMAPPED",D341="UNMAPPED",F341="No",H341="No",J341="No",K341="No",L341="UNMAPPED",M341="YES"),"NEEDS REVIEW","OK")</f>
        <v>OK</v>
      </c>
    </row>
    <row r="342" customFormat="false" ht="15" hidden="false" customHeight="false" outlineLevel="0" collapsed="false">
      <c r="A342" s="7" t="str">
        <f aca="false">'Raw_Data (Before)'!A342</f>
        <v>EMP0123</v>
      </c>
      <c r="B342" s="7" t="str">
        <f aca="false">PROPER(TRIM('Raw_Data (Before)'!B342))</f>
        <v>James Obi</v>
      </c>
      <c r="C342" s="7" t="str">
        <f aca="false">IFERROR(INDEX(Lookup_Tables!$B$5:$B$24,MATCH(UPPER(TRIM('Raw_Data (Before)'!C342)),Lookup_Tables!$A$5:$A$24,0)),"UNMAPPED")</f>
        <v>Marketing</v>
      </c>
      <c r="D342" s="7" t="str">
        <f aca="false">IFERROR(INDEX(Lookup_Tables!$E$5:$E$8,MATCH(UPPER(TRIM('Raw_Data (Before)'!D342)),Lookup_Tables!$D$5:$D$8,0)),"UNMAPPED")</f>
        <v>Female</v>
      </c>
      <c r="E342" s="7" t="n">
        <f aca="false">'Raw_Data (Before)'!E342</f>
        <v>38</v>
      </c>
      <c r="F342" s="7" t="str">
        <f aca="false">IF(E342="","No",IF(OR(E342&lt;16,E342&gt;75),"No","Yes"))</f>
        <v>Yes</v>
      </c>
      <c r="G342" s="7" t="n">
        <f aca="false">IFERROR(VALUE(SUBSTITUTE(SUBSTITUTE('Raw_Data (Before)'!F342,"₦",""),",","")),"")</f>
        <v>143583</v>
      </c>
      <c r="H342" s="7" t="str">
        <f aca="false">IF(G342="","No",IF(OR(G342&lt;=0,G342&gt;5000000),"No","Yes"))</f>
        <v>Yes</v>
      </c>
      <c r="I342" s="8" t="n">
        <f aca="false">IFERROR(DATEVALUE('Raw_Data (Before)'!G342),"")</f>
        <v>44215</v>
      </c>
      <c r="J342" s="7" t="str">
        <f aca="false">IF(I342="","No","Yes")</f>
        <v>Yes</v>
      </c>
      <c r="K342" s="7" t="str">
        <f aca="false">IF(OR(ISERROR(FIND("@",'Raw_Data (Before)'!H342)),ISNUMBER(FIND("@@",'Raw_Data (Before)'!H342)),ISNUMBER(FIND(" ",'Raw_Data (Before)'!H342)),ISERROR(FIND(".",'Raw_Data (Before)'!H342,FIND("@",'Raw_Data (Before)'!H342)))),"No","Yes")</f>
        <v>Yes</v>
      </c>
      <c r="L342" s="7" t="str">
        <f aca="false">IFERROR(INDEX(Lookup_Tables!$H$5:$H$9,MATCH(UPPER(TRIM('Raw_Data (Before)'!I342)),Lookup_Tables!$G$5:$G$9,0)),"UNMAPPED")</f>
        <v>Active</v>
      </c>
      <c r="M342" s="7" t="str">
        <f aca="false">IF(COUNTIF('Raw_Data (Before)'!$A$5:$A$424,A342)&gt;1,"YES","No")</f>
        <v>No</v>
      </c>
      <c r="N342" s="7" t="str">
        <f aca="false">IF(OR(C342="UNMAPPED",D342="UNMAPPED",F342="No",H342="No",J342="No",K342="No",L342="UNMAPPED",M342="YES"),"NEEDS REVIEW","OK")</f>
        <v>OK</v>
      </c>
    </row>
    <row r="343" customFormat="false" ht="15" hidden="false" customHeight="false" outlineLevel="0" collapsed="false">
      <c r="A343" s="7" t="str">
        <f aca="false">'Raw_Data (Before)'!A343</f>
        <v>EMP0273</v>
      </c>
      <c r="B343" s="7" t="str">
        <f aca="false">PROPER(TRIM('Raw_Data (Before)'!B343))</f>
        <v>Hauwa Sani</v>
      </c>
      <c r="C343" s="7" t="str">
        <f aca="false">IFERROR(INDEX(Lookup_Tables!$B$5:$B$24,MATCH(UPPER(TRIM('Raw_Data (Before)'!C343)),Lookup_Tables!$A$5:$A$24,0)),"UNMAPPED")</f>
        <v>IT</v>
      </c>
      <c r="D343" s="7" t="str">
        <f aca="false">IFERROR(INDEX(Lookup_Tables!$E$5:$E$8,MATCH(UPPER(TRIM('Raw_Data (Before)'!D343)),Lookup_Tables!$D$5:$D$8,0)),"UNMAPPED")</f>
        <v>Male</v>
      </c>
      <c r="E343" s="7" t="n">
        <f aca="false">'Raw_Data (Before)'!E343</f>
        <v>25</v>
      </c>
      <c r="F343" s="7" t="str">
        <f aca="false">IF(E343="","No",IF(OR(E343&lt;16,E343&gt;75),"No","Yes"))</f>
        <v>Yes</v>
      </c>
      <c r="G343" s="7" t="n">
        <f aca="false">IFERROR(VALUE(SUBSTITUTE(SUBSTITUTE('Raw_Data (Before)'!F343,"₦",""),",","")),"")</f>
        <v>207756</v>
      </c>
      <c r="H343" s="7" t="str">
        <f aca="false">IF(G343="","No",IF(OR(G343&lt;=0,G343&gt;5000000),"No","Yes"))</f>
        <v>Yes</v>
      </c>
      <c r="I343" s="8" t="str">
        <f aca="false">IFERROR(DATEVALUE('Raw_Data (Before)'!G343),"")</f>
        <v/>
      </c>
      <c r="J343" s="7" t="str">
        <f aca="false">IF(I343="","No","Yes")</f>
        <v>No</v>
      </c>
      <c r="K343" s="7" t="str">
        <f aca="false">IF(OR(ISERROR(FIND("@",'Raw_Data (Before)'!H343)),ISNUMBER(FIND("@@",'Raw_Data (Before)'!H343)),ISNUMBER(FIND(" ",'Raw_Data (Before)'!H343)),ISERROR(FIND(".",'Raw_Data (Before)'!H343,FIND("@",'Raw_Data (Before)'!H343)))),"No","Yes")</f>
        <v>Yes</v>
      </c>
      <c r="L343" s="7" t="str">
        <f aca="false">IFERROR(INDEX(Lookup_Tables!$H$5:$H$9,MATCH(UPPER(TRIM('Raw_Data (Before)'!I343)),Lookup_Tables!$G$5:$G$9,0)),"UNMAPPED")</f>
        <v>Active</v>
      </c>
      <c r="M343" s="7" t="str">
        <f aca="false">IF(COUNTIF('Raw_Data (Before)'!$A$5:$A$424,A343)&gt;1,"YES","No")</f>
        <v>No</v>
      </c>
      <c r="N343" s="7" t="str">
        <f aca="false">IF(OR(C343="UNMAPPED",D343="UNMAPPED",F343="No",H343="No",J343="No",K343="No",L343="UNMAPPED",M343="YES"),"NEEDS REVIEW","OK")</f>
        <v>NEEDS REVIEW</v>
      </c>
    </row>
    <row r="344" customFormat="false" ht="15" hidden="false" customHeight="false" outlineLevel="0" collapsed="false">
      <c r="A344" s="7" t="str">
        <f aca="false">'Raw_Data (Before)'!A344</f>
        <v>EMP0233</v>
      </c>
      <c r="B344" s="7" t="str">
        <f aca="false">PROPER(TRIM('Raw_Data (Before)'!B344))</f>
        <v>Ibrahim Balogun</v>
      </c>
      <c r="C344" s="7" t="str">
        <f aca="false">IFERROR(INDEX(Lookup_Tables!$B$5:$B$24,MATCH(UPPER(TRIM('Raw_Data (Before)'!C344)),Lookup_Tables!$A$5:$A$24,0)),"UNMAPPED")</f>
        <v>HR</v>
      </c>
      <c r="D344" s="7" t="str">
        <f aca="false">IFERROR(INDEX(Lookup_Tables!$E$5:$E$8,MATCH(UPPER(TRIM('Raw_Data (Before)'!D344)),Lookup_Tables!$D$5:$D$8,0)),"UNMAPPED")</f>
        <v>Male</v>
      </c>
      <c r="E344" s="7" t="n">
        <f aca="false">'Raw_Data (Before)'!E344</f>
        <v>33</v>
      </c>
      <c r="F344" s="7" t="str">
        <f aca="false">IF(E344="","No",IF(OR(E344&lt;16,E344&gt;75),"No","Yes"))</f>
        <v>Yes</v>
      </c>
      <c r="G344" s="7" t="n">
        <f aca="false">IFERROR(VALUE(SUBSTITUTE(SUBSTITUTE('Raw_Data (Before)'!F344,"₦",""),",","")),"")</f>
        <v>501189</v>
      </c>
      <c r="H344" s="7" t="str">
        <f aca="false">IF(G344="","No",IF(OR(G344&lt;=0,G344&gt;5000000),"No","Yes"))</f>
        <v>Yes</v>
      </c>
      <c r="I344" s="8" t="str">
        <f aca="false">IFERROR(DATEVALUE('Raw_Data (Before)'!G344),"")</f>
        <v/>
      </c>
      <c r="J344" s="7" t="str">
        <f aca="false">IF(I344="","No","Yes")</f>
        <v>No</v>
      </c>
      <c r="K344" s="7" t="str">
        <f aca="false">IF(OR(ISERROR(FIND("@",'Raw_Data (Before)'!H344)),ISNUMBER(FIND("@@",'Raw_Data (Before)'!H344)),ISNUMBER(FIND(" ",'Raw_Data (Before)'!H344)),ISERROR(FIND(".",'Raw_Data (Before)'!H344,FIND("@",'Raw_Data (Before)'!H344)))),"No","Yes")</f>
        <v>Yes</v>
      </c>
      <c r="L344" s="7" t="str">
        <f aca="false">IFERROR(INDEX(Lookup_Tables!$H$5:$H$9,MATCH(UPPER(TRIM('Raw_Data (Before)'!I344)),Lookup_Tables!$G$5:$G$9,0)),"UNMAPPED")</f>
        <v>Active</v>
      </c>
      <c r="M344" s="7" t="str">
        <f aca="false">IF(COUNTIF('Raw_Data (Before)'!$A$5:$A$424,A344)&gt;1,"YES","No")</f>
        <v>No</v>
      </c>
      <c r="N344" s="7" t="str">
        <f aca="false">IF(OR(C344="UNMAPPED",D344="UNMAPPED",F344="No",H344="No",J344="No",K344="No",L344="UNMAPPED",M344="YES"),"NEEDS REVIEW","OK")</f>
        <v>NEEDS REVIEW</v>
      </c>
    </row>
    <row r="345" customFormat="false" ht="15" hidden="false" customHeight="false" outlineLevel="0" collapsed="false">
      <c r="A345" s="7" t="str">
        <f aca="false">'Raw_Data (Before)'!A345</f>
        <v>EMP0045</v>
      </c>
      <c r="B345" s="7" t="str">
        <f aca="false">PROPER(TRIM('Raw_Data (Before)'!B345))</f>
        <v>Ngozi Yakubu</v>
      </c>
      <c r="C345" s="7" t="str">
        <f aca="false">IFERROR(INDEX(Lookup_Tables!$B$5:$B$24,MATCH(UPPER(TRIM('Raw_Data (Before)'!C345)),Lookup_Tables!$A$5:$A$24,0)),"UNMAPPED")</f>
        <v>HR</v>
      </c>
      <c r="D345" s="7" t="str">
        <f aca="false">IFERROR(INDEX(Lookup_Tables!$E$5:$E$8,MATCH(UPPER(TRIM('Raw_Data (Before)'!D345)),Lookup_Tables!$D$5:$D$8,0)),"UNMAPPED")</f>
        <v>Female</v>
      </c>
      <c r="E345" s="7" t="n">
        <f aca="false">'Raw_Data (Before)'!E345</f>
        <v>51</v>
      </c>
      <c r="F345" s="7" t="str">
        <f aca="false">IF(E345="","No",IF(OR(E345&lt;16,E345&gt;75),"No","Yes"))</f>
        <v>Yes</v>
      </c>
      <c r="G345" s="7" t="n">
        <f aca="false">IFERROR(VALUE(SUBSTITUTE(SUBSTITUTE('Raw_Data (Before)'!F345,"₦",""),",","")),"")</f>
        <v>664394</v>
      </c>
      <c r="H345" s="7" t="str">
        <f aca="false">IF(G345="","No",IF(OR(G345&lt;=0,G345&gt;5000000),"No","Yes"))</f>
        <v>Yes</v>
      </c>
      <c r="I345" s="8" t="n">
        <f aca="false">IFERROR(DATEVALUE('Raw_Data (Before)'!G345),"")</f>
        <v>44764</v>
      </c>
      <c r="J345" s="7" t="str">
        <f aca="false">IF(I345="","No","Yes")</f>
        <v>Yes</v>
      </c>
      <c r="K345" s="7" t="str">
        <f aca="false">IF(OR(ISERROR(FIND("@",'Raw_Data (Before)'!H345)),ISNUMBER(FIND("@@",'Raw_Data (Before)'!H345)),ISNUMBER(FIND(" ",'Raw_Data (Before)'!H345)),ISERROR(FIND(".",'Raw_Data (Before)'!H345,FIND("@",'Raw_Data (Before)'!H345)))),"No","Yes")</f>
        <v>Yes</v>
      </c>
      <c r="L345" s="7" t="str">
        <f aca="false">IFERROR(INDEX(Lookup_Tables!$H$5:$H$9,MATCH(UPPER(TRIM('Raw_Data (Before)'!I345)),Lookup_Tables!$G$5:$G$9,0)),"UNMAPPED")</f>
        <v>Active</v>
      </c>
      <c r="M345" s="7" t="str">
        <f aca="false">IF(COUNTIF('Raw_Data (Before)'!$A$5:$A$424,A345)&gt;1,"YES","No")</f>
        <v>No</v>
      </c>
      <c r="N345" s="7" t="str">
        <f aca="false">IF(OR(C345="UNMAPPED",D345="UNMAPPED",F345="No",H345="No",J345="No",K345="No",L345="UNMAPPED",M345="YES"),"NEEDS REVIEW","OK")</f>
        <v>OK</v>
      </c>
    </row>
    <row r="346" customFormat="false" ht="15" hidden="false" customHeight="false" outlineLevel="0" collapsed="false">
      <c r="A346" s="7" t="str">
        <f aca="false">'Raw_Data (Before)'!A346</f>
        <v>EMP0226</v>
      </c>
      <c r="B346" s="7" t="str">
        <f aca="false">PROPER(TRIM('Raw_Data (Before)'!B346))</f>
        <v>Mary Nnamdi</v>
      </c>
      <c r="C346" s="7" t="str">
        <f aca="false">IFERROR(INDEX(Lookup_Tables!$B$5:$B$24,MATCH(UPPER(TRIM('Raw_Data (Before)'!C346)),Lookup_Tables!$A$5:$A$24,0)),"UNMAPPED")</f>
        <v>IT</v>
      </c>
      <c r="D346" s="7" t="str">
        <f aca="false">IFERROR(INDEX(Lookup_Tables!$E$5:$E$8,MATCH(UPPER(TRIM('Raw_Data (Before)'!D346)),Lookup_Tables!$D$5:$D$8,0)),"UNMAPPED")</f>
        <v>Male</v>
      </c>
      <c r="E346" s="7" t="n">
        <f aca="false">'Raw_Data (Before)'!E346</f>
        <v>44</v>
      </c>
      <c r="F346" s="7" t="str">
        <f aca="false">IF(E346="","No",IF(OR(E346&lt;16,E346&gt;75),"No","Yes"))</f>
        <v>Yes</v>
      </c>
      <c r="G346" s="7" t="n">
        <f aca="false">IFERROR(VALUE(SUBSTITUTE(SUBSTITUTE('Raw_Data (Before)'!F346,"₦",""),",","")),"")</f>
        <v>330234</v>
      </c>
      <c r="H346" s="7" t="str">
        <f aca="false">IF(G346="","No",IF(OR(G346&lt;=0,G346&gt;5000000),"No","Yes"))</f>
        <v>Yes</v>
      </c>
      <c r="I346" s="8" t="str">
        <f aca="false">IFERROR(DATEVALUE('Raw_Data (Before)'!G346),"")</f>
        <v/>
      </c>
      <c r="J346" s="7" t="str">
        <f aca="false">IF(I346="","No","Yes")</f>
        <v>No</v>
      </c>
      <c r="K346" s="7" t="str">
        <f aca="false">IF(OR(ISERROR(FIND("@",'Raw_Data (Before)'!H346)),ISNUMBER(FIND("@@",'Raw_Data (Before)'!H346)),ISNUMBER(FIND(" ",'Raw_Data (Before)'!H346)),ISERROR(FIND(".",'Raw_Data (Before)'!H346,FIND("@",'Raw_Data (Before)'!H346)))),"No","Yes")</f>
        <v>Yes</v>
      </c>
      <c r="L346" s="7" t="str">
        <f aca="false">IFERROR(INDEX(Lookup_Tables!$H$5:$H$9,MATCH(UPPER(TRIM('Raw_Data (Before)'!I346)),Lookup_Tables!$G$5:$G$9,0)),"UNMAPPED")</f>
        <v>Active</v>
      </c>
      <c r="M346" s="7" t="str">
        <f aca="false">IF(COUNTIF('Raw_Data (Before)'!$A$5:$A$424,A346)&gt;1,"YES","No")</f>
        <v>No</v>
      </c>
      <c r="N346" s="7" t="str">
        <f aca="false">IF(OR(C346="UNMAPPED",D346="UNMAPPED",F346="No",H346="No",J346="No",K346="No",L346="UNMAPPED",M346="YES"),"NEEDS REVIEW","OK")</f>
        <v>NEEDS REVIEW</v>
      </c>
    </row>
    <row r="347" customFormat="false" ht="15" hidden="false" customHeight="false" outlineLevel="0" collapsed="false">
      <c r="A347" s="7" t="str">
        <f aca="false">'Raw_Data (Before)'!A347</f>
        <v>EMP0118</v>
      </c>
      <c r="B347" s="7" t="str">
        <f aca="false">PROPER(TRIM('Raw_Data (Before)'!B347))</f>
        <v>James Bello</v>
      </c>
      <c r="C347" s="7" t="str">
        <f aca="false">IFERROR(INDEX(Lookup_Tables!$B$5:$B$24,MATCH(UPPER(TRIM('Raw_Data (Before)'!C347)),Lookup_Tables!$A$5:$A$24,0)),"UNMAPPED")</f>
        <v>Customer Service</v>
      </c>
      <c r="D347" s="7" t="str">
        <f aca="false">IFERROR(INDEX(Lookup_Tables!$E$5:$E$8,MATCH(UPPER(TRIM('Raw_Data (Before)'!D347)),Lookup_Tables!$D$5:$D$8,0)),"UNMAPPED")</f>
        <v>Female</v>
      </c>
      <c r="E347" s="7" t="n">
        <f aca="false">'Raw_Data (Before)'!E347</f>
        <v>58</v>
      </c>
      <c r="F347" s="7" t="str">
        <f aca="false">IF(E347="","No",IF(OR(E347&lt;16,E347&gt;75),"No","Yes"))</f>
        <v>Yes</v>
      </c>
      <c r="G347" s="7" t="n">
        <f aca="false">IFERROR(VALUE(SUBSTITUTE(SUBSTITUTE('Raw_Data (Before)'!F347,"₦",""),",","")),"")</f>
        <v>137270</v>
      </c>
      <c r="H347" s="7" t="str">
        <f aca="false">IF(G347="","No",IF(OR(G347&lt;=0,G347&gt;5000000),"No","Yes"))</f>
        <v>Yes</v>
      </c>
      <c r="I347" s="8" t="str">
        <f aca="false">IFERROR(DATEVALUE('Raw_Data (Before)'!G347),"")</f>
        <v/>
      </c>
      <c r="J347" s="7" t="str">
        <f aca="false">IF(I347="","No","Yes")</f>
        <v>No</v>
      </c>
      <c r="K347" s="7" t="str">
        <f aca="false">IF(OR(ISERROR(FIND("@",'Raw_Data (Before)'!H347)),ISNUMBER(FIND("@@",'Raw_Data (Before)'!H347)),ISNUMBER(FIND(" ",'Raw_Data (Before)'!H347)),ISERROR(FIND(".",'Raw_Data (Before)'!H347,FIND("@",'Raw_Data (Before)'!H347)))),"No","Yes")</f>
        <v>Yes</v>
      </c>
      <c r="L347" s="7" t="str">
        <f aca="false">IFERROR(INDEX(Lookup_Tables!$H$5:$H$9,MATCH(UPPER(TRIM('Raw_Data (Before)'!I347)),Lookup_Tables!$G$5:$G$9,0)),"UNMAPPED")</f>
        <v>Active</v>
      </c>
      <c r="M347" s="7" t="str">
        <f aca="false">IF(COUNTIF('Raw_Data (Before)'!$A$5:$A$424,A347)&gt;1,"YES","No")</f>
        <v>No</v>
      </c>
      <c r="N347" s="7" t="str">
        <f aca="false">IF(OR(C347="UNMAPPED",D347="UNMAPPED",F347="No",H347="No",J347="No",K347="No",L347="UNMAPPED",M347="YES"),"NEEDS REVIEW","OK")</f>
        <v>NEEDS REVIEW</v>
      </c>
    </row>
    <row r="348" customFormat="false" ht="15" hidden="false" customHeight="false" outlineLevel="0" collapsed="false">
      <c r="A348" s="7" t="str">
        <f aca="false">'Raw_Data (Before)'!A348</f>
        <v>EMP0317</v>
      </c>
      <c r="B348" s="7" t="str">
        <f aca="false">PROPER(TRIM('Raw_Data (Before)'!B348))</f>
        <v>Esther Yakubu</v>
      </c>
      <c r="C348" s="7" t="str">
        <f aca="false">IFERROR(INDEX(Lookup_Tables!$B$5:$B$24,MATCH(UPPER(TRIM('Raw_Data (Before)'!C348)),Lookup_Tables!$A$5:$A$24,0)),"UNMAPPED")</f>
        <v>Customer Service</v>
      </c>
      <c r="D348" s="7" t="str">
        <f aca="false">IFERROR(INDEX(Lookup_Tables!$E$5:$E$8,MATCH(UPPER(TRIM('Raw_Data (Before)'!D348)),Lookup_Tables!$D$5:$D$8,0)),"UNMAPPED")</f>
        <v>Male</v>
      </c>
      <c r="E348" s="7" t="n">
        <f aca="false">'Raw_Data (Before)'!E348</f>
        <v>46</v>
      </c>
      <c r="F348" s="7" t="str">
        <f aca="false">IF(E348="","No",IF(OR(E348&lt;16,E348&gt;75),"No","Yes"))</f>
        <v>Yes</v>
      </c>
      <c r="G348" s="7" t="n">
        <f aca="false">IFERROR(VALUE(SUBSTITUTE(SUBSTITUTE('Raw_Data (Before)'!F348,"₦",""),",","")),"")</f>
        <v>725904</v>
      </c>
      <c r="H348" s="7" t="str">
        <f aca="false">IF(G348="","No",IF(OR(G348&lt;=0,G348&gt;5000000),"No","Yes"))</f>
        <v>Yes</v>
      </c>
      <c r="I348" s="8" t="n">
        <f aca="false">IFERROR(DATEVALUE('Raw_Data (Before)'!G348),"")</f>
        <v>43712</v>
      </c>
      <c r="J348" s="7" t="str">
        <f aca="false">IF(I348="","No","Yes")</f>
        <v>Yes</v>
      </c>
      <c r="K348" s="7" t="str">
        <f aca="false">IF(OR(ISERROR(FIND("@",'Raw_Data (Before)'!H348)),ISNUMBER(FIND("@@",'Raw_Data (Before)'!H348)),ISNUMBER(FIND(" ",'Raw_Data (Before)'!H348)),ISERROR(FIND(".",'Raw_Data (Before)'!H348,FIND("@",'Raw_Data (Before)'!H348)))),"No","Yes")</f>
        <v>No</v>
      </c>
      <c r="L348" s="7" t="str">
        <f aca="false">IFERROR(INDEX(Lookup_Tables!$H$5:$H$9,MATCH(UPPER(TRIM('Raw_Data (Before)'!I348)),Lookup_Tables!$G$5:$G$9,0)),"UNMAPPED")</f>
        <v>Active</v>
      </c>
      <c r="M348" s="7" t="str">
        <f aca="false">IF(COUNTIF('Raw_Data (Before)'!$A$5:$A$424,A348)&gt;1,"YES","No")</f>
        <v>YES</v>
      </c>
      <c r="N348" s="7" t="str">
        <f aca="false">IF(OR(C348="UNMAPPED",D348="UNMAPPED",F348="No",H348="No",J348="No",K348="No",L348="UNMAPPED",M348="YES"),"NEEDS REVIEW","OK")</f>
        <v>NEEDS REVIEW</v>
      </c>
    </row>
    <row r="349" customFormat="false" ht="15" hidden="false" customHeight="false" outlineLevel="0" collapsed="false">
      <c r="A349" s="7" t="str">
        <f aca="false">'Raw_Data (Before)'!A349</f>
        <v>EMP0009</v>
      </c>
      <c r="B349" s="7" t="str">
        <f aca="false">PROPER(TRIM('Raw_Data (Before)'!B349))</f>
        <v>David Bello</v>
      </c>
      <c r="C349" s="7" t="str">
        <f aca="false">IFERROR(INDEX(Lookup_Tables!$B$5:$B$24,MATCH(UPPER(TRIM('Raw_Data (Before)'!C349)),Lookup_Tables!$A$5:$A$24,0)),"UNMAPPED")</f>
        <v>Sales</v>
      </c>
      <c r="D349" s="7" t="str">
        <f aca="false">IFERROR(INDEX(Lookup_Tables!$E$5:$E$8,MATCH(UPPER(TRIM('Raw_Data (Before)'!D349)),Lookup_Tables!$D$5:$D$8,0)),"UNMAPPED")</f>
        <v>Male</v>
      </c>
      <c r="E349" s="7" t="n">
        <f aca="false">'Raw_Data (Before)'!E349</f>
        <v>39</v>
      </c>
      <c r="F349" s="7" t="str">
        <f aca="false">IF(E349="","No",IF(OR(E349&lt;16,E349&gt;75),"No","Yes"))</f>
        <v>Yes</v>
      </c>
      <c r="G349" s="7" t="n">
        <f aca="false">IFERROR(VALUE(SUBSTITUTE(SUBSTITUTE('Raw_Data (Before)'!F349,"₦",""),",","")),"")</f>
        <v>84292</v>
      </c>
      <c r="H349" s="7" t="str">
        <f aca="false">IF(G349="","No",IF(OR(G349&lt;=0,G349&gt;5000000),"No","Yes"))</f>
        <v>Yes</v>
      </c>
      <c r="I349" s="8" t="n">
        <f aca="false">IFERROR(DATEVALUE('Raw_Data (Before)'!G349),"")</f>
        <v>45087</v>
      </c>
      <c r="J349" s="7" t="str">
        <f aca="false">IF(I349="","No","Yes")</f>
        <v>Yes</v>
      </c>
      <c r="K349" s="7" t="str">
        <f aca="false">IF(OR(ISERROR(FIND("@",'Raw_Data (Before)'!H349)),ISNUMBER(FIND("@@",'Raw_Data (Before)'!H349)),ISNUMBER(FIND(" ",'Raw_Data (Before)'!H349)),ISERROR(FIND(".",'Raw_Data (Before)'!H349,FIND("@",'Raw_Data (Before)'!H349)))),"No","Yes")</f>
        <v>Yes</v>
      </c>
      <c r="L349" s="7" t="str">
        <f aca="false">IFERROR(INDEX(Lookup_Tables!$H$5:$H$9,MATCH(UPPER(TRIM('Raw_Data (Before)'!I349)),Lookup_Tables!$G$5:$G$9,0)),"UNMAPPED")</f>
        <v>Active</v>
      </c>
      <c r="M349" s="7" t="str">
        <f aca="false">IF(COUNTIF('Raw_Data (Before)'!$A$5:$A$424,A349)&gt;1,"YES","No")</f>
        <v>No</v>
      </c>
      <c r="N349" s="7" t="str">
        <f aca="false">IF(OR(C349="UNMAPPED",D349="UNMAPPED",F349="No",H349="No",J349="No",K349="No",L349="UNMAPPED",M349="YES"),"NEEDS REVIEW","OK")</f>
        <v>OK</v>
      </c>
    </row>
    <row r="350" customFormat="false" ht="15" hidden="false" customHeight="false" outlineLevel="0" collapsed="false">
      <c r="A350" s="7" t="str">
        <f aca="false">'Raw_Data (Before)'!A350</f>
        <v>EMP0012</v>
      </c>
      <c r="B350" s="7" t="str">
        <f aca="false">PROPER(TRIM('Raw_Data (Before)'!B350))</f>
        <v>Peter Sani</v>
      </c>
      <c r="C350" s="7" t="str">
        <f aca="false">IFERROR(INDEX(Lookup_Tables!$B$5:$B$24,MATCH(UPPER(TRIM('Raw_Data (Before)'!C350)),Lookup_Tables!$A$5:$A$24,0)),"UNMAPPED")</f>
        <v>Operations</v>
      </c>
      <c r="D350" s="7" t="str">
        <f aca="false">IFERROR(INDEX(Lookup_Tables!$E$5:$E$8,MATCH(UPPER(TRIM('Raw_Data (Before)'!D350)),Lookup_Tables!$D$5:$D$8,0)),"UNMAPPED")</f>
        <v>Female</v>
      </c>
      <c r="E350" s="7" t="n">
        <f aca="false">'Raw_Data (Before)'!E350</f>
        <v>26</v>
      </c>
      <c r="F350" s="7" t="str">
        <f aca="false">IF(E350="","No",IF(OR(E350&lt;16,E350&gt;75),"No","Yes"))</f>
        <v>Yes</v>
      </c>
      <c r="G350" s="7" t="n">
        <f aca="false">IFERROR(VALUE(SUBSTITUTE(SUBSTITUTE('Raw_Data (Before)'!F350,"₦",""),",","")),"")</f>
        <v>23111800</v>
      </c>
      <c r="H350" s="7" t="str">
        <f aca="false">IF(G350="","No",IF(OR(G350&lt;=0,G350&gt;5000000),"No","Yes"))</f>
        <v>No</v>
      </c>
      <c r="I350" s="8" t="n">
        <f aca="false">IFERROR(DATEVALUE('Raw_Data (Before)'!G350),"")</f>
        <v>45009</v>
      </c>
      <c r="J350" s="7" t="str">
        <f aca="false">IF(I350="","No","Yes")</f>
        <v>Yes</v>
      </c>
      <c r="K350" s="7" t="str">
        <f aca="false">IF(OR(ISERROR(FIND("@",'Raw_Data (Before)'!H350)),ISNUMBER(FIND("@@",'Raw_Data (Before)'!H350)),ISNUMBER(FIND(" ",'Raw_Data (Before)'!H350)),ISERROR(FIND(".",'Raw_Data (Before)'!H350,FIND("@",'Raw_Data (Before)'!H350)))),"No","Yes")</f>
        <v>Yes</v>
      </c>
      <c r="L350" s="7" t="str">
        <f aca="false">IFERROR(INDEX(Lookup_Tables!$H$5:$H$9,MATCH(UPPER(TRIM('Raw_Data (Before)'!I350)),Lookup_Tables!$G$5:$G$9,0)),"UNMAPPED")</f>
        <v>Active</v>
      </c>
      <c r="M350" s="7" t="str">
        <f aca="false">IF(COUNTIF('Raw_Data (Before)'!$A$5:$A$424,A350)&gt;1,"YES","No")</f>
        <v>No</v>
      </c>
      <c r="N350" s="7" t="str">
        <f aca="false">IF(OR(C350="UNMAPPED",D350="UNMAPPED",F350="No",H350="No",J350="No",K350="No",L350="UNMAPPED",M350="YES"),"NEEDS REVIEW","OK")</f>
        <v>NEEDS REVIEW</v>
      </c>
    </row>
    <row r="351" customFormat="false" ht="15" hidden="false" customHeight="false" outlineLevel="0" collapsed="false">
      <c r="A351" s="7" t="str">
        <f aca="false">'Raw_Data (Before)'!A351</f>
        <v>EMP0267</v>
      </c>
      <c r="B351" s="7" t="str">
        <f aca="false">PROPER(TRIM('Raw_Data (Before)'!B351))</f>
        <v>Ola Abubakar</v>
      </c>
      <c r="C351" s="7" t="str">
        <f aca="false">IFERROR(INDEX(Lookup_Tables!$B$5:$B$24,MATCH(UPPER(TRIM('Raw_Data (Before)'!C351)),Lookup_Tables!$A$5:$A$24,0)),"UNMAPPED")</f>
        <v>Customer Service</v>
      </c>
      <c r="D351" s="7" t="str">
        <f aca="false">IFERROR(INDEX(Lookup_Tables!$E$5:$E$8,MATCH(UPPER(TRIM('Raw_Data (Before)'!D351)),Lookup_Tables!$D$5:$D$8,0)),"UNMAPPED")</f>
        <v>Female</v>
      </c>
      <c r="E351" s="7" t="n">
        <f aca="false">'Raw_Data (Before)'!E351</f>
        <v>41</v>
      </c>
      <c r="F351" s="7" t="str">
        <f aca="false">IF(E351="","No",IF(OR(E351&lt;16,E351&gt;75),"No","Yes"))</f>
        <v>Yes</v>
      </c>
      <c r="G351" s="7" t="n">
        <f aca="false">IFERROR(VALUE(SUBSTITUTE(SUBSTITUTE('Raw_Data (Before)'!F351,"₦",""),",","")),"")</f>
        <v>126081</v>
      </c>
      <c r="H351" s="7" t="str">
        <f aca="false">IF(G351="","No",IF(OR(G351&lt;=0,G351&gt;5000000),"No","Yes"))</f>
        <v>Yes</v>
      </c>
      <c r="I351" s="8" t="n">
        <f aca="false">IFERROR(DATEVALUE('Raw_Data (Before)'!G351),"")</f>
        <v>45154</v>
      </c>
      <c r="J351" s="7" t="str">
        <f aca="false">IF(I351="","No","Yes")</f>
        <v>Yes</v>
      </c>
      <c r="K351" s="7" t="str">
        <f aca="false">IF(OR(ISERROR(FIND("@",'Raw_Data (Before)'!H351)),ISNUMBER(FIND("@@",'Raw_Data (Before)'!H351)),ISNUMBER(FIND(" ",'Raw_Data (Before)'!H351)),ISERROR(FIND(".",'Raw_Data (Before)'!H351,FIND("@",'Raw_Data (Before)'!H351)))),"No","Yes")</f>
        <v>Yes</v>
      </c>
      <c r="L351" s="7" t="str">
        <f aca="false">IFERROR(INDEX(Lookup_Tables!$H$5:$H$9,MATCH(UPPER(TRIM('Raw_Data (Before)'!I351)),Lookup_Tables!$G$5:$G$9,0)),"UNMAPPED")</f>
        <v>Active</v>
      </c>
      <c r="M351" s="7" t="str">
        <f aca="false">IF(COUNTIF('Raw_Data (Before)'!$A$5:$A$424,A351)&gt;1,"YES","No")</f>
        <v>No</v>
      </c>
      <c r="N351" s="7" t="str">
        <f aca="false">IF(OR(C351="UNMAPPED",D351="UNMAPPED",F351="No",H351="No",J351="No",K351="No",L351="UNMAPPED",M351="YES"),"NEEDS REVIEW","OK")</f>
        <v>OK</v>
      </c>
    </row>
    <row r="352" customFormat="false" ht="15" hidden="false" customHeight="false" outlineLevel="0" collapsed="false">
      <c r="A352" s="7" t="str">
        <f aca="false">'Raw_Data (Before)'!A352</f>
        <v>EMP0091</v>
      </c>
      <c r="B352" s="7" t="str">
        <f aca="false">PROPER(TRIM('Raw_Data (Before)'!B352))</f>
        <v>Ruth Nwosu</v>
      </c>
      <c r="C352" s="7" t="str">
        <f aca="false">IFERROR(INDEX(Lookup_Tables!$B$5:$B$24,MATCH(UPPER(TRIM('Raw_Data (Before)'!C352)),Lookup_Tables!$A$5:$A$24,0)),"UNMAPPED")</f>
        <v>Finance</v>
      </c>
      <c r="D352" s="7" t="str">
        <f aca="false">IFERROR(INDEX(Lookup_Tables!$E$5:$E$8,MATCH(UPPER(TRIM('Raw_Data (Before)'!D352)),Lookup_Tables!$D$5:$D$8,0)),"UNMAPPED")</f>
        <v>Male</v>
      </c>
      <c r="E352" s="7" t="n">
        <f aca="false">'Raw_Data (Before)'!E352</f>
        <v>27</v>
      </c>
      <c r="F352" s="7" t="str">
        <f aca="false">IF(E352="","No",IF(OR(E352&lt;16,E352&gt;75),"No","Yes"))</f>
        <v>Yes</v>
      </c>
      <c r="G352" s="7" t="n">
        <f aca="false">IFERROR(VALUE(SUBSTITUTE(SUBSTITUTE('Raw_Data (Before)'!F352,"₦",""),",","")),"")</f>
        <v>-219097</v>
      </c>
      <c r="H352" s="7" t="str">
        <f aca="false">IF(G352="","No",IF(OR(G352&lt;=0,G352&gt;5000000),"No","Yes"))</f>
        <v>No</v>
      </c>
      <c r="I352" s="8" t="n">
        <f aca="false">IFERROR(DATEVALUE('Raw_Data (Before)'!G352),"")</f>
        <v>45687</v>
      </c>
      <c r="J352" s="7" t="str">
        <f aca="false">IF(I352="","No","Yes")</f>
        <v>Yes</v>
      </c>
      <c r="K352" s="7" t="str">
        <f aca="false">IF(OR(ISERROR(FIND("@",'Raw_Data (Before)'!H352)),ISNUMBER(FIND("@@",'Raw_Data (Before)'!H352)),ISNUMBER(FIND(" ",'Raw_Data (Before)'!H352)),ISERROR(FIND(".",'Raw_Data (Before)'!H352,FIND("@",'Raw_Data (Before)'!H352)))),"No","Yes")</f>
        <v>Yes</v>
      </c>
      <c r="L352" s="7" t="str">
        <f aca="false">IFERROR(INDEX(Lookup_Tables!$H$5:$H$9,MATCH(UPPER(TRIM('Raw_Data (Before)'!I352)),Lookup_Tables!$G$5:$G$9,0)),"UNMAPPED")</f>
        <v>Inactive</v>
      </c>
      <c r="M352" s="7" t="str">
        <f aca="false">IF(COUNTIF('Raw_Data (Before)'!$A$5:$A$424,A352)&gt;1,"YES","No")</f>
        <v>No</v>
      </c>
      <c r="N352" s="7" t="str">
        <f aca="false">IF(OR(C352="UNMAPPED",D352="UNMAPPED",F352="No",H352="No",J352="No",K352="No",L352="UNMAPPED",M352="YES"),"NEEDS REVIEW","OK")</f>
        <v>NEEDS REVIEW</v>
      </c>
    </row>
    <row r="353" customFormat="false" ht="15" hidden="false" customHeight="false" outlineLevel="0" collapsed="false">
      <c r="A353" s="7" t="str">
        <f aca="false">'Raw_Data (Before)'!A353</f>
        <v>EMP0036</v>
      </c>
      <c r="B353" s="7" t="str">
        <f aca="false">PROPER(TRIM('Raw_Data (Before)'!B353))</f>
        <v>Bisi Duru</v>
      </c>
      <c r="C353" s="7" t="str">
        <f aca="false">IFERROR(INDEX(Lookup_Tables!$B$5:$B$24,MATCH(UPPER(TRIM('Raw_Data (Before)'!C353)),Lookup_Tables!$A$5:$A$24,0)),"UNMAPPED")</f>
        <v>Marketing</v>
      </c>
      <c r="D353" s="7" t="str">
        <f aca="false">IFERROR(INDEX(Lookup_Tables!$E$5:$E$8,MATCH(UPPER(TRIM('Raw_Data (Before)'!D353)),Lookup_Tables!$D$5:$D$8,0)),"UNMAPPED")</f>
        <v>Male</v>
      </c>
      <c r="E353" s="7" t="n">
        <f aca="false">'Raw_Data (Before)'!E353</f>
        <v>55</v>
      </c>
      <c r="F353" s="7" t="str">
        <f aca="false">IF(E353="","No",IF(OR(E353&lt;16,E353&gt;75),"No","Yes"))</f>
        <v>Yes</v>
      </c>
      <c r="G353" s="7" t="n">
        <f aca="false">IFERROR(VALUE(SUBSTITUTE(SUBSTITUTE('Raw_Data (Before)'!F353,"₦",""),",","")),"")</f>
        <v>176408</v>
      </c>
      <c r="H353" s="7" t="str">
        <f aca="false">IF(G353="","No",IF(OR(G353&lt;=0,G353&gt;5000000),"No","Yes"))</f>
        <v>Yes</v>
      </c>
      <c r="I353" s="8" t="n">
        <f aca="false">IFERROR(DATEVALUE('Raw_Data (Before)'!G353),"")</f>
        <v>43388</v>
      </c>
      <c r="J353" s="7" t="str">
        <f aca="false">IF(I353="","No","Yes")</f>
        <v>Yes</v>
      </c>
      <c r="K353" s="7" t="str">
        <f aca="false">IF(OR(ISERROR(FIND("@",'Raw_Data (Before)'!H353)),ISNUMBER(FIND("@@",'Raw_Data (Before)'!H353)),ISNUMBER(FIND(" ",'Raw_Data (Before)'!H353)),ISERROR(FIND(".",'Raw_Data (Before)'!H353,FIND("@",'Raw_Data (Before)'!H353)))),"No","Yes")</f>
        <v>No</v>
      </c>
      <c r="L353" s="7" t="str">
        <f aca="false">IFERROR(INDEX(Lookup_Tables!$H$5:$H$9,MATCH(UPPER(TRIM('Raw_Data (Before)'!I353)),Lookup_Tables!$G$5:$G$9,0)),"UNMAPPED")</f>
        <v>Active</v>
      </c>
      <c r="M353" s="7" t="str">
        <f aca="false">IF(COUNTIF('Raw_Data (Before)'!$A$5:$A$424,A353)&gt;1,"YES","No")</f>
        <v>No</v>
      </c>
      <c r="N353" s="7" t="str">
        <f aca="false">IF(OR(C353="UNMAPPED",D353="UNMAPPED",F353="No",H353="No",J353="No",K353="No",L353="UNMAPPED",M353="YES"),"NEEDS REVIEW","OK")</f>
        <v>NEEDS REVIEW</v>
      </c>
    </row>
    <row r="354" customFormat="false" ht="15" hidden="false" customHeight="false" outlineLevel="0" collapsed="false">
      <c r="A354" s="7" t="str">
        <f aca="false">'Raw_Data (Before)'!A354</f>
        <v>EMP0137</v>
      </c>
      <c r="B354" s="7" t="str">
        <f aca="false">PROPER(TRIM('Raw_Data (Before)'!B354))</f>
        <v>Ruth Bello</v>
      </c>
      <c r="C354" s="7" t="str">
        <f aca="false">IFERROR(INDEX(Lookup_Tables!$B$5:$B$24,MATCH(UPPER(TRIM('Raw_Data (Before)'!C354)),Lookup_Tables!$A$5:$A$24,0)),"UNMAPPED")</f>
        <v>Sales</v>
      </c>
      <c r="D354" s="7" t="str">
        <f aca="false">IFERROR(INDEX(Lookup_Tables!$E$5:$E$8,MATCH(UPPER(TRIM('Raw_Data (Before)'!D354)),Lookup_Tables!$D$5:$D$8,0)),"UNMAPPED")</f>
        <v>Female</v>
      </c>
      <c r="E354" s="7" t="n">
        <f aca="false">'Raw_Data (Before)'!E354</f>
        <v>51</v>
      </c>
      <c r="F354" s="7" t="str">
        <f aca="false">IF(E354="","No",IF(OR(E354&lt;16,E354&gt;75),"No","Yes"))</f>
        <v>Yes</v>
      </c>
      <c r="G354" s="7" t="n">
        <f aca="false">IFERROR(VALUE(SUBSTITUTE(SUBSTITUTE('Raw_Data (Before)'!F354,"₦",""),",","")),"")</f>
        <v>199714</v>
      </c>
      <c r="H354" s="7" t="str">
        <f aca="false">IF(G354="","No",IF(OR(G354&lt;=0,G354&gt;5000000),"No","Yes"))</f>
        <v>Yes</v>
      </c>
      <c r="I354" s="8" t="n">
        <f aca="false">IFERROR(DATEVALUE('Raw_Data (Before)'!G354),"")</f>
        <v>45053</v>
      </c>
      <c r="J354" s="7" t="str">
        <f aca="false">IF(I354="","No","Yes")</f>
        <v>Yes</v>
      </c>
      <c r="K354" s="7" t="str">
        <f aca="false">IF(OR(ISERROR(FIND("@",'Raw_Data (Before)'!H354)),ISNUMBER(FIND("@@",'Raw_Data (Before)'!H354)),ISNUMBER(FIND(" ",'Raw_Data (Before)'!H354)),ISERROR(FIND(".",'Raw_Data (Before)'!H354,FIND("@",'Raw_Data (Before)'!H354)))),"No","Yes")</f>
        <v>Yes</v>
      </c>
      <c r="L354" s="7" t="str">
        <f aca="false">IFERROR(INDEX(Lookup_Tables!$H$5:$H$9,MATCH(UPPER(TRIM('Raw_Data (Before)'!I354)),Lookup_Tables!$G$5:$G$9,0)),"UNMAPPED")</f>
        <v>Active</v>
      </c>
      <c r="M354" s="7" t="str">
        <f aca="false">IF(COUNTIF('Raw_Data (Before)'!$A$5:$A$424,A354)&gt;1,"YES","No")</f>
        <v>No</v>
      </c>
      <c r="N354" s="7" t="str">
        <f aca="false">IF(OR(C354="UNMAPPED",D354="UNMAPPED",F354="No",H354="No",J354="No",K354="No",L354="UNMAPPED",M354="YES"),"NEEDS REVIEW","OK")</f>
        <v>OK</v>
      </c>
    </row>
    <row r="355" customFormat="false" ht="15" hidden="false" customHeight="false" outlineLevel="0" collapsed="false">
      <c r="A355" s="7" t="str">
        <f aca="false">'Raw_Data (Before)'!A355</f>
        <v>EMP0076</v>
      </c>
      <c r="B355" s="7" t="str">
        <f aca="false">PROPER(TRIM('Raw_Data (Before)'!B355))</f>
        <v>Ola Nnamdi</v>
      </c>
      <c r="C355" s="7" t="str">
        <f aca="false">IFERROR(INDEX(Lookup_Tables!$B$5:$B$24,MATCH(UPPER(TRIM('Raw_Data (Before)'!C355)),Lookup_Tables!$A$5:$A$24,0)),"UNMAPPED")</f>
        <v>Sales</v>
      </c>
      <c r="D355" s="7" t="str">
        <f aca="false">IFERROR(INDEX(Lookup_Tables!$E$5:$E$8,MATCH(UPPER(TRIM('Raw_Data (Before)'!D355)),Lookup_Tables!$D$5:$D$8,0)),"UNMAPPED")</f>
        <v>Female</v>
      </c>
      <c r="E355" s="7" t="n">
        <f aca="false">'Raw_Data (Before)'!E355</f>
        <v>28</v>
      </c>
      <c r="F355" s="7" t="str">
        <f aca="false">IF(E355="","No",IF(OR(E355&lt;16,E355&gt;75),"No","Yes"))</f>
        <v>Yes</v>
      </c>
      <c r="G355" s="7" t="n">
        <f aca="false">IFERROR(VALUE(SUBSTITUTE(SUBSTITUTE('Raw_Data (Before)'!F355,"₦",""),",","")),"")</f>
        <v>283116</v>
      </c>
      <c r="H355" s="7" t="str">
        <f aca="false">IF(G355="","No",IF(OR(G355&lt;=0,G355&gt;5000000),"No","Yes"))</f>
        <v>Yes</v>
      </c>
      <c r="I355" s="8" t="n">
        <f aca="false">IFERROR(DATEVALUE('Raw_Data (Before)'!G355),"")</f>
        <v>45616</v>
      </c>
      <c r="J355" s="7" t="str">
        <f aca="false">IF(I355="","No","Yes")</f>
        <v>Yes</v>
      </c>
      <c r="K355" s="7" t="str">
        <f aca="false">IF(OR(ISERROR(FIND("@",'Raw_Data (Before)'!H355)),ISNUMBER(FIND("@@",'Raw_Data (Before)'!H355)),ISNUMBER(FIND(" ",'Raw_Data (Before)'!H355)),ISERROR(FIND(".",'Raw_Data (Before)'!H355,FIND("@",'Raw_Data (Before)'!H355)))),"No","Yes")</f>
        <v>Yes</v>
      </c>
      <c r="L355" s="7" t="str">
        <f aca="false">IFERROR(INDEX(Lookup_Tables!$H$5:$H$9,MATCH(UPPER(TRIM('Raw_Data (Before)'!I355)),Lookup_Tables!$G$5:$G$9,0)),"UNMAPPED")</f>
        <v>Active</v>
      </c>
      <c r="M355" s="7" t="str">
        <f aca="false">IF(COUNTIF('Raw_Data (Before)'!$A$5:$A$424,A355)&gt;1,"YES","No")</f>
        <v>No</v>
      </c>
      <c r="N355" s="7" t="str">
        <f aca="false">IF(OR(C355="UNMAPPED",D355="UNMAPPED",F355="No",H355="No",J355="No",K355="No",L355="UNMAPPED",M355="YES"),"NEEDS REVIEW","OK")</f>
        <v>OK</v>
      </c>
    </row>
    <row r="356" customFormat="false" ht="15" hidden="false" customHeight="false" outlineLevel="0" collapsed="false">
      <c r="A356" s="7" t="str">
        <f aca="false">'Raw_Data (Before)'!A356</f>
        <v>EMP0263</v>
      </c>
      <c r="B356" s="7" t="str">
        <f aca="false">PROPER(TRIM('Raw_Data (Before)'!B356))</f>
        <v>Daniel Adeyemi</v>
      </c>
      <c r="C356" s="7" t="str">
        <f aca="false">IFERROR(INDEX(Lookup_Tables!$B$5:$B$24,MATCH(UPPER(TRIM('Raw_Data (Before)'!C356)),Lookup_Tables!$A$5:$A$24,0)),"UNMAPPED")</f>
        <v>Operations</v>
      </c>
      <c r="D356" s="7" t="str">
        <f aca="false">IFERROR(INDEX(Lookup_Tables!$E$5:$E$8,MATCH(UPPER(TRIM('Raw_Data (Before)'!D356)),Lookup_Tables!$D$5:$D$8,0)),"UNMAPPED")</f>
        <v>Male</v>
      </c>
      <c r="E356" s="7" t="n">
        <f aca="false">'Raw_Data (Before)'!E356</f>
        <v>57</v>
      </c>
      <c r="F356" s="7" t="str">
        <f aca="false">IF(E356="","No",IF(OR(E356&lt;16,E356&gt;75),"No","Yes"))</f>
        <v>Yes</v>
      </c>
      <c r="G356" s="7" t="str">
        <f aca="false">IFERROR(VALUE(SUBSTITUTE(SUBSTITUTE('Raw_Data (Before)'!F356,"₦",""),",","")),"")</f>
        <v/>
      </c>
      <c r="H356" s="7" t="str">
        <f aca="false">IF(G356="","No",IF(OR(G356&lt;=0,G356&gt;5000000),"No","Yes"))</f>
        <v>No</v>
      </c>
      <c r="I356" s="8" t="str">
        <f aca="false">IFERROR(DATEVALUE('Raw_Data (Before)'!G356),"")</f>
        <v/>
      </c>
      <c r="J356" s="7" t="str">
        <f aca="false">IF(I356="","No","Yes")</f>
        <v>No</v>
      </c>
      <c r="K356" s="7" t="str">
        <f aca="false">IF(OR(ISERROR(FIND("@",'Raw_Data (Before)'!H356)),ISNUMBER(FIND("@@",'Raw_Data (Before)'!H356)),ISNUMBER(FIND(" ",'Raw_Data (Before)'!H356)),ISERROR(FIND(".",'Raw_Data (Before)'!H356,FIND("@",'Raw_Data (Before)'!H356)))),"No","Yes")</f>
        <v>Yes</v>
      </c>
      <c r="L356" s="7" t="str">
        <f aca="false">IFERROR(INDEX(Lookup_Tables!$H$5:$H$9,MATCH(UPPER(TRIM('Raw_Data (Before)'!I356)),Lookup_Tables!$G$5:$G$9,0)),"UNMAPPED")</f>
        <v>Inactive</v>
      </c>
      <c r="M356" s="7" t="str">
        <f aca="false">IF(COUNTIF('Raw_Data (Before)'!$A$5:$A$424,A356)&gt;1,"YES","No")</f>
        <v>No</v>
      </c>
      <c r="N356" s="7" t="str">
        <f aca="false">IF(OR(C356="UNMAPPED",D356="UNMAPPED",F356="No",H356="No",J356="No",K356="No",L356="UNMAPPED",M356="YES"),"NEEDS REVIEW","OK")</f>
        <v>NEEDS REVIEW</v>
      </c>
    </row>
    <row r="357" customFormat="false" ht="15" hidden="false" customHeight="false" outlineLevel="0" collapsed="false">
      <c r="A357" s="7" t="str">
        <f aca="false">'Raw_Data (Before)'!A357</f>
        <v>EMP0304</v>
      </c>
      <c r="B357" s="7" t="str">
        <f aca="false">PROPER(TRIM('Raw_Data (Before)'!B357))</f>
        <v>Ibrahim Okonkwo</v>
      </c>
      <c r="C357" s="7" t="str">
        <f aca="false">IFERROR(INDEX(Lookup_Tables!$B$5:$B$24,MATCH(UPPER(TRIM('Raw_Data (Before)'!C357)),Lookup_Tables!$A$5:$A$24,0)),"UNMAPPED")</f>
        <v>Sales</v>
      </c>
      <c r="D357" s="7" t="str">
        <f aca="false">IFERROR(INDEX(Lookup_Tables!$E$5:$E$8,MATCH(UPPER(TRIM('Raw_Data (Before)'!D357)),Lookup_Tables!$D$5:$D$8,0)),"UNMAPPED")</f>
        <v>Male</v>
      </c>
      <c r="E357" s="7" t="n">
        <f aca="false">'Raw_Data (Before)'!E357</f>
        <v>56</v>
      </c>
      <c r="F357" s="7" t="str">
        <f aca="false">IF(E357="","No",IF(OR(E357&lt;16,E357&gt;75),"No","Yes"))</f>
        <v>Yes</v>
      </c>
      <c r="G357" s="7" t="n">
        <f aca="false">IFERROR(VALUE(SUBSTITUTE(SUBSTITUTE('Raw_Data (Before)'!F357,"₦",""),",","")),"")</f>
        <v>-140072</v>
      </c>
      <c r="H357" s="7" t="str">
        <f aca="false">IF(G357="","No",IF(OR(G357&lt;=0,G357&gt;5000000),"No","Yes"))</f>
        <v>No</v>
      </c>
      <c r="I357" s="8" t="n">
        <f aca="false">IFERROR(DATEVALUE('Raw_Data (Before)'!G357),"")</f>
        <v>45081</v>
      </c>
      <c r="J357" s="7" t="str">
        <f aca="false">IF(I357="","No","Yes")</f>
        <v>Yes</v>
      </c>
      <c r="K357" s="7" t="str">
        <f aca="false">IF(OR(ISERROR(FIND("@",'Raw_Data (Before)'!H357)),ISNUMBER(FIND("@@",'Raw_Data (Before)'!H357)),ISNUMBER(FIND(" ",'Raw_Data (Before)'!H357)),ISERROR(FIND(".",'Raw_Data (Before)'!H357,FIND("@",'Raw_Data (Before)'!H357)))),"No","Yes")</f>
        <v>Yes</v>
      </c>
      <c r="L357" s="7" t="str">
        <f aca="false">IFERROR(INDEX(Lookup_Tables!$H$5:$H$9,MATCH(UPPER(TRIM('Raw_Data (Before)'!I357)),Lookup_Tables!$G$5:$G$9,0)),"UNMAPPED")</f>
        <v>Active</v>
      </c>
      <c r="M357" s="7" t="str">
        <f aca="false">IF(COUNTIF('Raw_Data (Before)'!$A$5:$A$424,A357)&gt;1,"YES","No")</f>
        <v>No</v>
      </c>
      <c r="N357" s="7" t="str">
        <f aca="false">IF(OR(C357="UNMAPPED",D357="UNMAPPED",F357="No",H357="No",J357="No",K357="No",L357="UNMAPPED",M357="YES"),"NEEDS REVIEW","OK")</f>
        <v>NEEDS REVIEW</v>
      </c>
    </row>
    <row r="358" customFormat="false" ht="15" hidden="false" customHeight="false" outlineLevel="0" collapsed="false">
      <c r="A358" s="7" t="str">
        <f aca="false">'Raw_Data (Before)'!A358</f>
        <v>EMP0017</v>
      </c>
      <c r="B358" s="7" t="str">
        <f aca="false">PROPER(TRIM('Raw_Data (Before)'!B358))</f>
        <v>Daniel Abubakar</v>
      </c>
      <c r="C358" s="7" t="str">
        <f aca="false">IFERROR(INDEX(Lookup_Tables!$B$5:$B$24,MATCH(UPPER(TRIM('Raw_Data (Before)'!C358)),Lookup_Tables!$A$5:$A$24,0)),"UNMAPPED")</f>
        <v>Marketing</v>
      </c>
      <c r="D358" s="7" t="str">
        <f aca="false">IFERROR(INDEX(Lookup_Tables!$E$5:$E$8,MATCH(UPPER(TRIM('Raw_Data (Before)'!D358)),Lookup_Tables!$D$5:$D$8,0)),"UNMAPPED")</f>
        <v>Male</v>
      </c>
      <c r="E358" s="7" t="n">
        <f aca="false">'Raw_Data (Before)'!E358</f>
        <v>30</v>
      </c>
      <c r="F358" s="7" t="str">
        <f aca="false">IF(E358="","No",IF(OR(E358&lt;16,E358&gt;75),"No","Yes"))</f>
        <v>Yes</v>
      </c>
      <c r="G358" s="7" t="n">
        <f aca="false">IFERROR(VALUE(SUBSTITUTE(SUBSTITUTE('Raw_Data (Before)'!F358,"₦",""),",","")),"")</f>
        <v>721281</v>
      </c>
      <c r="H358" s="7" t="str">
        <f aca="false">IF(G358="","No",IF(OR(G358&lt;=0,G358&gt;5000000),"No","Yes"))</f>
        <v>Yes</v>
      </c>
      <c r="I358" s="8" t="n">
        <f aca="false">IFERROR(DATEVALUE('Raw_Data (Before)'!G358),"")</f>
        <v>43720</v>
      </c>
      <c r="J358" s="7" t="str">
        <f aca="false">IF(I358="","No","Yes")</f>
        <v>Yes</v>
      </c>
      <c r="K358" s="7" t="str">
        <f aca="false">IF(OR(ISERROR(FIND("@",'Raw_Data (Before)'!H358)),ISNUMBER(FIND("@@",'Raw_Data (Before)'!H358)),ISNUMBER(FIND(" ",'Raw_Data (Before)'!H358)),ISERROR(FIND(".",'Raw_Data (Before)'!H358,FIND("@",'Raw_Data (Before)'!H358)))),"No","Yes")</f>
        <v>Yes</v>
      </c>
      <c r="L358" s="7" t="str">
        <f aca="false">IFERROR(INDEX(Lookup_Tables!$H$5:$H$9,MATCH(UPPER(TRIM('Raw_Data (Before)'!I358)),Lookup_Tables!$G$5:$G$9,0)),"UNMAPPED")</f>
        <v>Inactive</v>
      </c>
      <c r="M358" s="7" t="str">
        <f aca="false">IF(COUNTIF('Raw_Data (Before)'!$A$5:$A$424,A358)&gt;1,"YES","No")</f>
        <v>No</v>
      </c>
      <c r="N358" s="7" t="str">
        <f aca="false">IF(OR(C358="UNMAPPED",D358="UNMAPPED",F358="No",H358="No",J358="No",K358="No",L358="UNMAPPED",M358="YES"),"NEEDS REVIEW","OK")</f>
        <v>OK</v>
      </c>
    </row>
    <row r="359" customFormat="false" ht="15" hidden="false" customHeight="false" outlineLevel="0" collapsed="false">
      <c r="A359" s="7" t="str">
        <f aca="false">'Raw_Data (Before)'!A359</f>
        <v>EMP0320</v>
      </c>
      <c r="B359" s="7" t="str">
        <f aca="false">PROPER(TRIM('Raw_Data (Before)'!B359))</f>
        <v>Emeka Nwosu</v>
      </c>
      <c r="C359" s="7" t="str">
        <f aca="false">IFERROR(INDEX(Lookup_Tables!$B$5:$B$24,MATCH(UPPER(TRIM('Raw_Data (Before)'!C359)),Lookup_Tables!$A$5:$A$24,0)),"UNMAPPED")</f>
        <v>Sales</v>
      </c>
      <c r="D359" s="7" t="str">
        <f aca="false">IFERROR(INDEX(Lookup_Tables!$E$5:$E$8,MATCH(UPPER(TRIM('Raw_Data (Before)'!D359)),Lookup_Tables!$D$5:$D$8,0)),"UNMAPPED")</f>
        <v>Female</v>
      </c>
      <c r="E359" s="7" t="n">
        <f aca="false">'Raw_Data (Before)'!E359</f>
        <v>36</v>
      </c>
      <c r="F359" s="7" t="str">
        <f aca="false">IF(E359="","No",IF(OR(E359&lt;16,E359&gt;75),"No","Yes"))</f>
        <v>Yes</v>
      </c>
      <c r="G359" s="7" t="n">
        <f aca="false">IFERROR(VALUE(SUBSTITUTE(SUBSTITUTE('Raw_Data (Before)'!F359,"₦",""),",","")),"")</f>
        <v>84126</v>
      </c>
      <c r="H359" s="7" t="str">
        <f aca="false">IF(G359="","No",IF(OR(G359&lt;=0,G359&gt;5000000),"No","Yes"))</f>
        <v>Yes</v>
      </c>
      <c r="I359" s="8" t="str">
        <f aca="false">IFERROR(DATEVALUE('Raw_Data (Before)'!G359),"")</f>
        <v/>
      </c>
      <c r="J359" s="7" t="str">
        <f aca="false">IF(I359="","No","Yes")</f>
        <v>No</v>
      </c>
      <c r="K359" s="7" t="str">
        <f aca="false">IF(OR(ISERROR(FIND("@",'Raw_Data (Before)'!H359)),ISNUMBER(FIND("@@",'Raw_Data (Before)'!H359)),ISNUMBER(FIND(" ",'Raw_Data (Before)'!H359)),ISERROR(FIND(".",'Raw_Data (Before)'!H359,FIND("@",'Raw_Data (Before)'!H359)))),"No","Yes")</f>
        <v>Yes</v>
      </c>
      <c r="L359" s="7" t="str">
        <f aca="false">IFERROR(INDEX(Lookup_Tables!$H$5:$H$9,MATCH(UPPER(TRIM('Raw_Data (Before)'!I359)),Lookup_Tables!$G$5:$G$9,0)),"UNMAPPED")</f>
        <v>Active</v>
      </c>
      <c r="M359" s="7" t="str">
        <f aca="false">IF(COUNTIF('Raw_Data (Before)'!$A$5:$A$424,A359)&gt;1,"YES","No")</f>
        <v>No</v>
      </c>
      <c r="N359" s="7" t="str">
        <f aca="false">IF(OR(C359="UNMAPPED",D359="UNMAPPED",F359="No",H359="No",J359="No",K359="No",L359="UNMAPPED",M359="YES"),"NEEDS REVIEW","OK")</f>
        <v>NEEDS REVIEW</v>
      </c>
    </row>
    <row r="360" customFormat="false" ht="15" hidden="false" customHeight="false" outlineLevel="0" collapsed="false">
      <c r="A360" s="7" t="str">
        <f aca="false">'Raw_Data (Before)'!A360</f>
        <v>EMP0394</v>
      </c>
      <c r="B360" s="7" t="str">
        <f aca="false">PROPER(TRIM('Raw_Data (Before)'!B360))</f>
        <v>Chidi Adeyemi</v>
      </c>
      <c r="C360" s="7" t="str">
        <f aca="false">IFERROR(INDEX(Lookup_Tables!$B$5:$B$24,MATCH(UPPER(TRIM('Raw_Data (Before)'!C360)),Lookup_Tables!$A$5:$A$24,0)),"UNMAPPED")</f>
        <v>Customer Service</v>
      </c>
      <c r="D360" s="7" t="str">
        <f aca="false">IFERROR(INDEX(Lookup_Tables!$E$5:$E$8,MATCH(UPPER(TRIM('Raw_Data (Before)'!D360)),Lookup_Tables!$D$5:$D$8,0)),"UNMAPPED")</f>
        <v>Male</v>
      </c>
      <c r="E360" s="7" t="n">
        <f aca="false">'Raw_Data (Before)'!E360</f>
        <v>38</v>
      </c>
      <c r="F360" s="7" t="str">
        <f aca="false">IF(E360="","No",IF(OR(E360&lt;16,E360&gt;75),"No","Yes"))</f>
        <v>Yes</v>
      </c>
      <c r="G360" s="7" t="n">
        <f aca="false">IFERROR(VALUE(SUBSTITUTE(SUBSTITUTE('Raw_Data (Before)'!F360,"₦",""),",","")),"")</f>
        <v>540881</v>
      </c>
      <c r="H360" s="7" t="str">
        <f aca="false">IF(G360="","No",IF(OR(G360&lt;=0,G360&gt;5000000),"No","Yes"))</f>
        <v>Yes</v>
      </c>
      <c r="I360" s="8" t="n">
        <f aca="false">IFERROR(DATEVALUE('Raw_Data (Before)'!G360),"")</f>
        <v>44635</v>
      </c>
      <c r="J360" s="7" t="str">
        <f aca="false">IF(I360="","No","Yes")</f>
        <v>Yes</v>
      </c>
      <c r="K360" s="7" t="str">
        <f aca="false">IF(OR(ISERROR(FIND("@",'Raw_Data (Before)'!H360)),ISNUMBER(FIND("@@",'Raw_Data (Before)'!H360)),ISNUMBER(FIND(" ",'Raw_Data (Before)'!H360)),ISERROR(FIND(".",'Raw_Data (Before)'!H360,FIND("@",'Raw_Data (Before)'!H360)))),"No","Yes")</f>
        <v>Yes</v>
      </c>
      <c r="L360" s="7" t="str">
        <f aca="false">IFERROR(INDEX(Lookup_Tables!$H$5:$H$9,MATCH(UPPER(TRIM('Raw_Data (Before)'!I360)),Lookup_Tables!$G$5:$G$9,0)),"UNMAPPED")</f>
        <v>Active</v>
      </c>
      <c r="M360" s="7" t="str">
        <f aca="false">IF(COUNTIF('Raw_Data (Before)'!$A$5:$A$424,A360)&gt;1,"YES","No")</f>
        <v>No</v>
      </c>
      <c r="N360" s="7" t="str">
        <f aca="false">IF(OR(C360="UNMAPPED",D360="UNMAPPED",F360="No",H360="No",J360="No",K360="No",L360="UNMAPPED",M360="YES"),"NEEDS REVIEW","OK")</f>
        <v>OK</v>
      </c>
    </row>
    <row r="361" customFormat="false" ht="15" hidden="false" customHeight="false" outlineLevel="0" collapsed="false">
      <c r="A361" s="7" t="str">
        <f aca="false">'Raw_Data (Before)'!A361</f>
        <v>EMP0042</v>
      </c>
      <c r="B361" s="7" t="str">
        <f aca="false">PROPER(TRIM('Raw_Data (Before)'!B361))</f>
        <v>John Umeh</v>
      </c>
      <c r="C361" s="7" t="str">
        <f aca="false">IFERROR(INDEX(Lookup_Tables!$B$5:$B$24,MATCH(UPPER(TRIM('Raw_Data (Before)'!C361)),Lookup_Tables!$A$5:$A$24,0)),"UNMAPPED")</f>
        <v>Customer Service</v>
      </c>
      <c r="D361" s="7" t="str">
        <f aca="false">IFERROR(INDEX(Lookup_Tables!$E$5:$E$8,MATCH(UPPER(TRIM('Raw_Data (Before)'!D361)),Lookup_Tables!$D$5:$D$8,0)),"UNMAPPED")</f>
        <v>Female</v>
      </c>
      <c r="E361" s="7" t="n">
        <f aca="false">'Raw_Data (Before)'!E361</f>
        <v>44</v>
      </c>
      <c r="F361" s="7" t="str">
        <f aca="false">IF(E361="","No",IF(OR(E361&lt;16,E361&gt;75),"No","Yes"))</f>
        <v>Yes</v>
      </c>
      <c r="G361" s="7" t="n">
        <f aca="false">IFERROR(VALUE(SUBSTITUTE(SUBSTITUTE('Raw_Data (Before)'!F361,"₦",""),",","")),"")</f>
        <v>148133</v>
      </c>
      <c r="H361" s="7" t="str">
        <f aca="false">IF(G361="","No",IF(OR(G361&lt;=0,G361&gt;5000000),"No","Yes"))</f>
        <v>Yes</v>
      </c>
      <c r="I361" s="8" t="n">
        <f aca="false">IFERROR(DATEVALUE('Raw_Data (Before)'!G361),"")</f>
        <v>43149</v>
      </c>
      <c r="J361" s="7" t="str">
        <f aca="false">IF(I361="","No","Yes")</f>
        <v>Yes</v>
      </c>
      <c r="K361" s="7" t="str">
        <f aca="false">IF(OR(ISERROR(FIND("@",'Raw_Data (Before)'!H361)),ISNUMBER(FIND("@@",'Raw_Data (Before)'!H361)),ISNUMBER(FIND(" ",'Raw_Data (Before)'!H361)),ISERROR(FIND(".",'Raw_Data (Before)'!H361,FIND("@",'Raw_Data (Before)'!H361)))),"No","Yes")</f>
        <v>Yes</v>
      </c>
      <c r="L361" s="7" t="str">
        <f aca="false">IFERROR(INDEX(Lookup_Tables!$H$5:$H$9,MATCH(UPPER(TRIM('Raw_Data (Before)'!I361)),Lookup_Tables!$G$5:$G$9,0)),"UNMAPPED")</f>
        <v>Inactive</v>
      </c>
      <c r="M361" s="7" t="str">
        <f aca="false">IF(COUNTIF('Raw_Data (Before)'!$A$5:$A$424,A361)&gt;1,"YES","No")</f>
        <v>No</v>
      </c>
      <c r="N361" s="7" t="str">
        <f aca="false">IF(OR(C361="UNMAPPED",D361="UNMAPPED",F361="No",H361="No",J361="No",K361="No",L361="UNMAPPED",M361="YES"),"NEEDS REVIEW","OK")</f>
        <v>OK</v>
      </c>
    </row>
    <row r="362" customFormat="false" ht="15" hidden="false" customHeight="false" outlineLevel="0" collapsed="false">
      <c r="A362" s="7" t="str">
        <f aca="false">'Raw_Data (Before)'!A362</f>
        <v>EMP0055</v>
      </c>
      <c r="B362" s="7" t="str">
        <f aca="false">PROPER(TRIM('Raw_Data (Before)'!B362))</f>
        <v>Bisi Nwosu</v>
      </c>
      <c r="C362" s="7" t="str">
        <f aca="false">IFERROR(INDEX(Lookup_Tables!$B$5:$B$24,MATCH(UPPER(TRIM('Raw_Data (Before)'!C362)),Lookup_Tables!$A$5:$A$24,0)),"UNMAPPED")</f>
        <v>Sales</v>
      </c>
      <c r="D362" s="7" t="str">
        <f aca="false">IFERROR(INDEX(Lookup_Tables!$E$5:$E$8,MATCH(UPPER(TRIM('Raw_Data (Before)'!D362)),Lookup_Tables!$D$5:$D$8,0)),"UNMAPPED")</f>
        <v>Male</v>
      </c>
      <c r="E362" s="7" t="n">
        <f aca="false">'Raw_Data (Before)'!E362</f>
        <v>41</v>
      </c>
      <c r="F362" s="7" t="str">
        <f aca="false">IF(E362="","No",IF(OR(E362&lt;16,E362&gt;75),"No","Yes"))</f>
        <v>Yes</v>
      </c>
      <c r="G362" s="7" t="n">
        <f aca="false">IFERROR(VALUE(SUBSTITUTE(SUBSTITUTE('Raw_Data (Before)'!F362,"₦",""),",","")),"")</f>
        <v>84831600</v>
      </c>
      <c r="H362" s="7" t="str">
        <f aca="false">IF(G362="","No",IF(OR(G362&lt;=0,G362&gt;5000000),"No","Yes"))</f>
        <v>No</v>
      </c>
      <c r="I362" s="8" t="n">
        <f aca="false">IFERROR(DATEVALUE('Raw_Data (Before)'!G362),"")</f>
        <v>43855</v>
      </c>
      <c r="J362" s="7" t="str">
        <f aca="false">IF(I362="","No","Yes")</f>
        <v>Yes</v>
      </c>
      <c r="K362" s="7" t="str">
        <f aca="false">IF(OR(ISERROR(FIND("@",'Raw_Data (Before)'!H362)),ISNUMBER(FIND("@@",'Raw_Data (Before)'!H362)),ISNUMBER(FIND(" ",'Raw_Data (Before)'!H362)),ISERROR(FIND(".",'Raw_Data (Before)'!H362,FIND("@",'Raw_Data (Before)'!H362)))),"No","Yes")</f>
        <v>No</v>
      </c>
      <c r="L362" s="7" t="str">
        <f aca="false">IFERROR(INDEX(Lookup_Tables!$H$5:$H$9,MATCH(UPPER(TRIM('Raw_Data (Before)'!I362)),Lookup_Tables!$G$5:$G$9,0)),"UNMAPPED")</f>
        <v>Active</v>
      </c>
      <c r="M362" s="7" t="str">
        <f aca="false">IF(COUNTIF('Raw_Data (Before)'!$A$5:$A$424,A362)&gt;1,"YES","No")</f>
        <v>No</v>
      </c>
      <c r="N362" s="7" t="str">
        <f aca="false">IF(OR(C362="UNMAPPED",D362="UNMAPPED",F362="No",H362="No",J362="No",K362="No",L362="UNMAPPED",M362="YES"),"NEEDS REVIEW","OK")</f>
        <v>NEEDS REVIEW</v>
      </c>
    </row>
    <row r="363" customFormat="false" ht="15" hidden="false" customHeight="false" outlineLevel="0" collapsed="false">
      <c r="A363" s="7" t="str">
        <f aca="false">'Raw_Data (Before)'!A363</f>
        <v>EMP0335</v>
      </c>
      <c r="B363" s="7" t="str">
        <f aca="false">PROPER(TRIM('Raw_Data (Before)'!B363))</f>
        <v>James Eze</v>
      </c>
      <c r="C363" s="7" t="str">
        <f aca="false">IFERROR(INDEX(Lookup_Tables!$B$5:$B$24,MATCH(UPPER(TRIM('Raw_Data (Before)'!C363)),Lookup_Tables!$A$5:$A$24,0)),"UNMAPPED")</f>
        <v>Operations</v>
      </c>
      <c r="D363" s="7" t="str">
        <f aca="false">IFERROR(INDEX(Lookup_Tables!$E$5:$E$8,MATCH(UPPER(TRIM('Raw_Data (Before)'!D363)),Lookup_Tables!$D$5:$D$8,0)),"UNMAPPED")</f>
        <v>Female</v>
      </c>
      <c r="E363" s="7" t="n">
        <f aca="false">'Raw_Data (Before)'!E363</f>
        <v>47</v>
      </c>
      <c r="F363" s="7" t="str">
        <f aca="false">IF(E363="","No",IF(OR(E363&lt;16,E363&gt;75),"No","Yes"))</f>
        <v>Yes</v>
      </c>
      <c r="G363" s="7" t="n">
        <f aca="false">IFERROR(VALUE(SUBSTITUTE(SUBSTITUTE('Raw_Data (Before)'!F363,"₦",""),",","")),"")</f>
        <v>873027</v>
      </c>
      <c r="H363" s="7" t="str">
        <f aca="false">IF(G363="","No",IF(OR(G363&lt;=0,G363&gt;5000000),"No","Yes"))</f>
        <v>Yes</v>
      </c>
      <c r="I363" s="8" t="str">
        <f aca="false">IFERROR(DATEVALUE('Raw_Data (Before)'!G363),"")</f>
        <v/>
      </c>
      <c r="J363" s="7" t="str">
        <f aca="false">IF(I363="","No","Yes")</f>
        <v>No</v>
      </c>
      <c r="K363" s="7" t="str">
        <f aca="false">IF(OR(ISERROR(FIND("@",'Raw_Data (Before)'!H363)),ISNUMBER(FIND("@@",'Raw_Data (Before)'!H363)),ISNUMBER(FIND(" ",'Raw_Data (Before)'!H363)),ISERROR(FIND(".",'Raw_Data (Before)'!H363,FIND("@",'Raw_Data (Before)'!H363)))),"No","Yes")</f>
        <v>Yes</v>
      </c>
      <c r="L363" s="7" t="str">
        <f aca="false">IFERROR(INDEX(Lookup_Tables!$H$5:$H$9,MATCH(UPPER(TRIM('Raw_Data (Before)'!I363)),Lookup_Tables!$G$5:$G$9,0)),"UNMAPPED")</f>
        <v>Active</v>
      </c>
      <c r="M363" s="7" t="str">
        <f aca="false">IF(COUNTIF('Raw_Data (Before)'!$A$5:$A$424,A363)&gt;1,"YES","No")</f>
        <v>No</v>
      </c>
      <c r="N363" s="7" t="str">
        <f aca="false">IF(OR(C363="UNMAPPED",D363="UNMAPPED",F363="No",H363="No",J363="No",K363="No",L363="UNMAPPED",M363="YES"),"NEEDS REVIEW","OK")</f>
        <v>NEEDS REVIEW</v>
      </c>
    </row>
    <row r="364" customFormat="false" ht="15" hidden="false" customHeight="false" outlineLevel="0" collapsed="false">
      <c r="A364" s="7" t="str">
        <f aca="false">'Raw_Data (Before)'!A364</f>
        <v>EMP0031</v>
      </c>
      <c r="B364" s="7" t="str">
        <f aca="false">PROPER(TRIM('Raw_Data (Before)'!B364))</f>
        <v>Ibrahim Obi</v>
      </c>
      <c r="C364" s="7" t="str">
        <f aca="false">IFERROR(INDEX(Lookup_Tables!$B$5:$B$24,MATCH(UPPER(TRIM('Raw_Data (Before)'!C364)),Lookup_Tables!$A$5:$A$24,0)),"UNMAPPED")</f>
        <v>Sales</v>
      </c>
      <c r="D364" s="7" t="str">
        <f aca="false">IFERROR(INDEX(Lookup_Tables!$E$5:$E$8,MATCH(UPPER(TRIM('Raw_Data (Before)'!D364)),Lookup_Tables!$D$5:$D$8,0)),"UNMAPPED")</f>
        <v>Female</v>
      </c>
      <c r="E364" s="7" t="n">
        <f aca="false">'Raw_Data (Before)'!E364</f>
        <v>23</v>
      </c>
      <c r="F364" s="7" t="str">
        <f aca="false">IF(E364="","No",IF(OR(E364&lt;16,E364&gt;75),"No","Yes"))</f>
        <v>Yes</v>
      </c>
      <c r="G364" s="7" t="n">
        <f aca="false">IFERROR(VALUE(SUBSTITUTE(SUBSTITUTE('Raw_Data (Before)'!F364,"₦",""),",","")),"")</f>
        <v>561771</v>
      </c>
      <c r="H364" s="7" t="str">
        <f aca="false">IF(G364="","No",IF(OR(G364&lt;=0,G364&gt;5000000),"No","Yes"))</f>
        <v>Yes</v>
      </c>
      <c r="I364" s="8" t="str">
        <f aca="false">IFERROR(DATEVALUE('Raw_Data (Before)'!G364),"")</f>
        <v/>
      </c>
      <c r="J364" s="7" t="str">
        <f aca="false">IF(I364="","No","Yes")</f>
        <v>No</v>
      </c>
      <c r="K364" s="7" t="str">
        <f aca="false">IF(OR(ISERROR(FIND("@",'Raw_Data (Before)'!H364)),ISNUMBER(FIND("@@",'Raw_Data (Before)'!H364)),ISNUMBER(FIND(" ",'Raw_Data (Before)'!H364)),ISERROR(FIND(".",'Raw_Data (Before)'!H364,FIND("@",'Raw_Data (Before)'!H364)))),"No","Yes")</f>
        <v>Yes</v>
      </c>
      <c r="L364" s="7" t="str">
        <f aca="false">IFERROR(INDEX(Lookup_Tables!$H$5:$H$9,MATCH(UPPER(TRIM('Raw_Data (Before)'!I364)),Lookup_Tables!$G$5:$G$9,0)),"UNMAPPED")</f>
        <v>Active</v>
      </c>
      <c r="M364" s="7" t="str">
        <f aca="false">IF(COUNTIF('Raw_Data (Before)'!$A$5:$A$424,A364)&gt;1,"YES","No")</f>
        <v>No</v>
      </c>
      <c r="N364" s="7" t="str">
        <f aca="false">IF(OR(C364="UNMAPPED",D364="UNMAPPED",F364="No",H364="No",J364="No",K364="No",L364="UNMAPPED",M364="YES"),"NEEDS REVIEW","OK")</f>
        <v>NEEDS REVIEW</v>
      </c>
    </row>
    <row r="365" customFormat="false" ht="15" hidden="false" customHeight="false" outlineLevel="0" collapsed="false">
      <c r="A365" s="7" t="str">
        <f aca="false">'Raw_Data (Before)'!A365</f>
        <v>EMP0085</v>
      </c>
      <c r="B365" s="7" t="str">
        <f aca="false">PROPER(TRIM('Raw_Data (Before)'!B365))</f>
        <v>Peter Balogun</v>
      </c>
      <c r="C365" s="7" t="str">
        <f aca="false">IFERROR(INDEX(Lookup_Tables!$B$5:$B$24,MATCH(UPPER(TRIM('Raw_Data (Before)'!C365)),Lookup_Tables!$A$5:$A$24,0)),"UNMAPPED")</f>
        <v>Finance</v>
      </c>
      <c r="D365" s="7" t="str">
        <f aca="false">IFERROR(INDEX(Lookup_Tables!$E$5:$E$8,MATCH(UPPER(TRIM('Raw_Data (Before)'!D365)),Lookup_Tables!$D$5:$D$8,0)),"UNMAPPED")</f>
        <v>Female</v>
      </c>
      <c r="E365" s="7" t="n">
        <f aca="false">'Raw_Data (Before)'!E365</f>
        <v>51</v>
      </c>
      <c r="F365" s="7" t="str">
        <f aca="false">IF(E365="","No",IF(OR(E365&lt;16,E365&gt;75),"No","Yes"))</f>
        <v>Yes</v>
      </c>
      <c r="G365" s="7" t="n">
        <f aca="false">IFERROR(VALUE(SUBSTITUTE(SUBSTITUTE('Raw_Data (Before)'!F365,"₦",""),",","")),"")</f>
        <v>830149</v>
      </c>
      <c r="H365" s="7" t="str">
        <f aca="false">IF(G365="","No",IF(OR(G365&lt;=0,G365&gt;5000000),"No","Yes"))</f>
        <v>Yes</v>
      </c>
      <c r="I365" s="8" t="n">
        <f aca="false">IFERROR(DATEVALUE('Raw_Data (Before)'!G365),"")</f>
        <v>43362</v>
      </c>
      <c r="J365" s="7" t="str">
        <f aca="false">IF(I365="","No","Yes")</f>
        <v>Yes</v>
      </c>
      <c r="K365" s="7" t="str">
        <f aca="false">IF(OR(ISERROR(FIND("@",'Raw_Data (Before)'!H365)),ISNUMBER(FIND("@@",'Raw_Data (Before)'!H365)),ISNUMBER(FIND(" ",'Raw_Data (Before)'!H365)),ISERROR(FIND(".",'Raw_Data (Before)'!H365,FIND("@",'Raw_Data (Before)'!H365)))),"No","Yes")</f>
        <v>Yes</v>
      </c>
      <c r="L365" s="7" t="str">
        <f aca="false">IFERROR(INDEX(Lookup_Tables!$H$5:$H$9,MATCH(UPPER(TRIM('Raw_Data (Before)'!I365)),Lookup_Tables!$G$5:$G$9,0)),"UNMAPPED")</f>
        <v>Active</v>
      </c>
      <c r="M365" s="7" t="str">
        <f aca="false">IF(COUNTIF('Raw_Data (Before)'!$A$5:$A$424,A365)&gt;1,"YES","No")</f>
        <v>No</v>
      </c>
      <c r="N365" s="7" t="str">
        <f aca="false">IF(OR(C365="UNMAPPED",D365="UNMAPPED",F365="No",H365="No",J365="No",K365="No",L365="UNMAPPED",M365="YES"),"NEEDS REVIEW","OK")</f>
        <v>OK</v>
      </c>
    </row>
    <row r="366" customFormat="false" ht="15" hidden="false" customHeight="false" outlineLevel="0" collapsed="false">
      <c r="A366" s="7" t="str">
        <f aca="false">'Raw_Data (Before)'!A366</f>
        <v>EMP0388</v>
      </c>
      <c r="B366" s="7" t="str">
        <f aca="false">PROPER(TRIM('Raw_Data (Before)'!B366))</f>
        <v>Chiamaka Nwosu</v>
      </c>
      <c r="C366" s="7" t="str">
        <f aca="false">IFERROR(INDEX(Lookup_Tables!$B$5:$B$24,MATCH(UPPER(TRIM('Raw_Data (Before)'!C366)),Lookup_Tables!$A$5:$A$24,0)),"UNMAPPED")</f>
        <v>Operations</v>
      </c>
      <c r="D366" s="7" t="str">
        <f aca="false">IFERROR(INDEX(Lookup_Tables!$E$5:$E$8,MATCH(UPPER(TRIM('Raw_Data (Before)'!D366)),Lookup_Tables!$D$5:$D$8,0)),"UNMAPPED")</f>
        <v>Male</v>
      </c>
      <c r="E366" s="7" t="n">
        <f aca="false">'Raw_Data (Before)'!E366</f>
        <v>58</v>
      </c>
      <c r="F366" s="7" t="str">
        <f aca="false">IF(E366="","No",IF(OR(E366&lt;16,E366&gt;75),"No","Yes"))</f>
        <v>Yes</v>
      </c>
      <c r="G366" s="7" t="n">
        <f aca="false">IFERROR(VALUE(SUBSTITUTE(SUBSTITUTE('Raw_Data (Before)'!F366,"₦",""),",","")),"")</f>
        <v>313354</v>
      </c>
      <c r="H366" s="7" t="str">
        <f aca="false">IF(G366="","No",IF(OR(G366&lt;=0,G366&gt;5000000),"No","Yes"))</f>
        <v>Yes</v>
      </c>
      <c r="I366" s="8" t="n">
        <f aca="false">IFERROR(DATEVALUE('Raw_Data (Before)'!G366),"")</f>
        <v>44631</v>
      </c>
      <c r="J366" s="7" t="str">
        <f aca="false">IF(I366="","No","Yes")</f>
        <v>Yes</v>
      </c>
      <c r="K366" s="7" t="str">
        <f aca="false">IF(OR(ISERROR(FIND("@",'Raw_Data (Before)'!H366)),ISNUMBER(FIND("@@",'Raw_Data (Before)'!H366)),ISNUMBER(FIND(" ",'Raw_Data (Before)'!H366)),ISERROR(FIND(".",'Raw_Data (Before)'!H366,FIND("@",'Raw_Data (Before)'!H366)))),"No","Yes")</f>
        <v>Yes</v>
      </c>
      <c r="L366" s="7" t="str">
        <f aca="false">IFERROR(INDEX(Lookup_Tables!$H$5:$H$9,MATCH(UPPER(TRIM('Raw_Data (Before)'!I366)),Lookup_Tables!$G$5:$G$9,0)),"UNMAPPED")</f>
        <v>Active</v>
      </c>
      <c r="M366" s="7" t="str">
        <f aca="false">IF(COUNTIF('Raw_Data (Before)'!$A$5:$A$424,A366)&gt;1,"YES","No")</f>
        <v>No</v>
      </c>
      <c r="N366" s="7" t="str">
        <f aca="false">IF(OR(C366="UNMAPPED",D366="UNMAPPED",F366="No",H366="No",J366="No",K366="No",L366="UNMAPPED",M366="YES"),"NEEDS REVIEW","OK")</f>
        <v>OK</v>
      </c>
    </row>
    <row r="367" customFormat="false" ht="15" hidden="false" customHeight="false" outlineLevel="0" collapsed="false">
      <c r="A367" s="7" t="str">
        <f aca="false">'Raw_Data (Before)'!A367</f>
        <v>EMP0230</v>
      </c>
      <c r="B367" s="7" t="str">
        <f aca="false">PROPER(TRIM('Raw_Data (Before)'!B367))</f>
        <v>Samuel Ajayi</v>
      </c>
      <c r="C367" s="7" t="str">
        <f aca="false">IFERROR(INDEX(Lookup_Tables!$B$5:$B$24,MATCH(UPPER(TRIM('Raw_Data (Before)'!C367)),Lookup_Tables!$A$5:$A$24,0)),"UNMAPPED")</f>
        <v>Operations</v>
      </c>
      <c r="D367" s="7" t="str">
        <f aca="false">IFERROR(INDEX(Lookup_Tables!$E$5:$E$8,MATCH(UPPER(TRIM('Raw_Data (Before)'!D367)),Lookup_Tables!$D$5:$D$8,0)),"UNMAPPED")</f>
        <v>Male</v>
      </c>
      <c r="E367" s="7" t="n">
        <f aca="false">'Raw_Data (Before)'!E367</f>
        <v>39</v>
      </c>
      <c r="F367" s="7" t="str">
        <f aca="false">IF(E367="","No",IF(OR(E367&lt;16,E367&gt;75),"No","Yes"))</f>
        <v>Yes</v>
      </c>
      <c r="G367" s="7" t="n">
        <f aca="false">IFERROR(VALUE(SUBSTITUTE(SUBSTITUTE('Raw_Data (Before)'!F367,"₦",""),",","")),"")</f>
        <v>727874</v>
      </c>
      <c r="H367" s="7" t="str">
        <f aca="false">IF(G367="","No",IF(OR(G367&lt;=0,G367&gt;5000000),"No","Yes"))</f>
        <v>Yes</v>
      </c>
      <c r="I367" s="8" t="n">
        <f aca="false">IFERROR(DATEVALUE('Raw_Data (Before)'!G367),"")</f>
        <v>43986</v>
      </c>
      <c r="J367" s="7" t="str">
        <f aca="false">IF(I367="","No","Yes")</f>
        <v>Yes</v>
      </c>
      <c r="K367" s="7" t="str">
        <f aca="false">IF(OR(ISERROR(FIND("@",'Raw_Data (Before)'!H367)),ISNUMBER(FIND("@@",'Raw_Data (Before)'!H367)),ISNUMBER(FIND(" ",'Raw_Data (Before)'!H367)),ISERROR(FIND(".",'Raw_Data (Before)'!H367,FIND("@",'Raw_Data (Before)'!H367)))),"No","Yes")</f>
        <v>Yes</v>
      </c>
      <c r="L367" s="7" t="str">
        <f aca="false">IFERROR(INDEX(Lookup_Tables!$H$5:$H$9,MATCH(UPPER(TRIM('Raw_Data (Before)'!I367)),Lookup_Tables!$G$5:$G$9,0)),"UNMAPPED")</f>
        <v>Active</v>
      </c>
      <c r="M367" s="7" t="str">
        <f aca="false">IF(COUNTIF('Raw_Data (Before)'!$A$5:$A$424,A367)&gt;1,"YES","No")</f>
        <v>No</v>
      </c>
      <c r="N367" s="7" t="str">
        <f aca="false">IF(OR(C367="UNMAPPED",D367="UNMAPPED",F367="No",H367="No",J367="No",K367="No",L367="UNMAPPED",M367="YES"),"NEEDS REVIEW","OK")</f>
        <v>OK</v>
      </c>
    </row>
    <row r="368" customFormat="false" ht="15" hidden="false" customHeight="false" outlineLevel="0" collapsed="false">
      <c r="A368" s="7" t="str">
        <f aca="false">'Raw_Data (Before)'!A368</f>
        <v>EMP0253</v>
      </c>
      <c r="B368" s="7" t="str">
        <f aca="false">PROPER(TRIM('Raw_Data (Before)'!B368))</f>
        <v>Musa Ajayi</v>
      </c>
      <c r="C368" s="7" t="str">
        <f aca="false">IFERROR(INDEX(Lookup_Tables!$B$5:$B$24,MATCH(UPPER(TRIM('Raw_Data (Before)'!C368)),Lookup_Tables!$A$5:$A$24,0)),"UNMAPPED")</f>
        <v>Marketing</v>
      </c>
      <c r="D368" s="7" t="str">
        <f aca="false">IFERROR(INDEX(Lookup_Tables!$E$5:$E$8,MATCH(UPPER(TRIM('Raw_Data (Before)'!D368)),Lookup_Tables!$D$5:$D$8,0)),"UNMAPPED")</f>
        <v>Male</v>
      </c>
      <c r="E368" s="7" t="n">
        <f aca="false">'Raw_Data (Before)'!E368</f>
        <v>42</v>
      </c>
      <c r="F368" s="7" t="str">
        <f aca="false">IF(E368="","No",IF(OR(E368&lt;16,E368&gt;75),"No","Yes"))</f>
        <v>Yes</v>
      </c>
      <c r="G368" s="7" t="n">
        <f aca="false">IFERROR(VALUE(SUBSTITUTE(SUBSTITUTE('Raw_Data (Before)'!F368,"₦",""),",","")),"")</f>
        <v>152391</v>
      </c>
      <c r="H368" s="7" t="str">
        <f aca="false">IF(G368="","No",IF(OR(G368&lt;=0,G368&gt;5000000),"No","Yes"))</f>
        <v>Yes</v>
      </c>
      <c r="I368" s="8" t="n">
        <f aca="false">IFERROR(DATEVALUE('Raw_Data (Before)'!G368),"")</f>
        <v>43255</v>
      </c>
      <c r="J368" s="7" t="str">
        <f aca="false">IF(I368="","No","Yes")</f>
        <v>Yes</v>
      </c>
      <c r="K368" s="7" t="str">
        <f aca="false">IF(OR(ISERROR(FIND("@",'Raw_Data (Before)'!H368)),ISNUMBER(FIND("@@",'Raw_Data (Before)'!H368)),ISNUMBER(FIND(" ",'Raw_Data (Before)'!H368)),ISERROR(FIND(".",'Raw_Data (Before)'!H368,FIND("@",'Raw_Data (Before)'!H368)))),"No","Yes")</f>
        <v>Yes</v>
      </c>
      <c r="L368" s="7" t="str">
        <f aca="false">IFERROR(INDEX(Lookup_Tables!$H$5:$H$9,MATCH(UPPER(TRIM('Raw_Data (Before)'!I368)),Lookup_Tables!$G$5:$G$9,0)),"UNMAPPED")</f>
        <v>Active</v>
      </c>
      <c r="M368" s="7" t="str">
        <f aca="false">IF(COUNTIF('Raw_Data (Before)'!$A$5:$A$424,A368)&gt;1,"YES","No")</f>
        <v>No</v>
      </c>
      <c r="N368" s="7" t="str">
        <f aca="false">IF(OR(C368="UNMAPPED",D368="UNMAPPED",F368="No",H368="No",J368="No",K368="No",L368="UNMAPPED",M368="YES"),"NEEDS REVIEW","OK")</f>
        <v>OK</v>
      </c>
    </row>
    <row r="369" customFormat="false" ht="15" hidden="false" customHeight="false" outlineLevel="0" collapsed="false">
      <c r="A369" s="7" t="str">
        <f aca="false">'Raw_Data (Before)'!A369</f>
        <v>EMP0187</v>
      </c>
      <c r="B369" s="7" t="str">
        <f aca="false">PROPER(TRIM('Raw_Data (Before)'!B369))</f>
        <v>Emeka Lawal</v>
      </c>
      <c r="C369" s="7" t="str">
        <f aca="false">IFERROR(INDEX(Lookup_Tables!$B$5:$B$24,MATCH(UPPER(TRIM('Raw_Data (Before)'!C369)),Lookup_Tables!$A$5:$A$24,0)),"UNMAPPED")</f>
        <v>IT</v>
      </c>
      <c r="D369" s="7" t="str">
        <f aca="false">IFERROR(INDEX(Lookup_Tables!$E$5:$E$8,MATCH(UPPER(TRIM('Raw_Data (Before)'!D369)),Lookup_Tables!$D$5:$D$8,0)),"UNMAPPED")</f>
        <v>Male</v>
      </c>
      <c r="E369" s="7" t="n">
        <f aca="false">'Raw_Data (Before)'!E369</f>
        <v>26</v>
      </c>
      <c r="F369" s="7" t="str">
        <f aca="false">IF(E369="","No",IF(OR(E369&lt;16,E369&gt;75),"No","Yes"))</f>
        <v>Yes</v>
      </c>
      <c r="G369" s="7" t="n">
        <f aca="false">IFERROR(VALUE(SUBSTITUTE(SUBSTITUTE('Raw_Data (Before)'!F369,"₦",""),",","")),"")</f>
        <v>228780</v>
      </c>
      <c r="H369" s="7" t="str">
        <f aca="false">IF(G369="","No",IF(OR(G369&lt;=0,G369&gt;5000000),"No","Yes"))</f>
        <v>Yes</v>
      </c>
      <c r="I369" s="8" t="n">
        <f aca="false">IFERROR(DATEVALUE('Raw_Data (Before)'!G369),"")</f>
        <v>43746</v>
      </c>
      <c r="J369" s="7" t="str">
        <f aca="false">IF(I369="","No","Yes")</f>
        <v>Yes</v>
      </c>
      <c r="K369" s="7" t="str">
        <f aca="false">IF(OR(ISERROR(FIND("@",'Raw_Data (Before)'!H369)),ISNUMBER(FIND("@@",'Raw_Data (Before)'!H369)),ISNUMBER(FIND(" ",'Raw_Data (Before)'!H369)),ISERROR(FIND(".",'Raw_Data (Before)'!H369,FIND("@",'Raw_Data (Before)'!H369)))),"No","Yes")</f>
        <v>Yes</v>
      </c>
      <c r="L369" s="7" t="str">
        <f aca="false">IFERROR(INDEX(Lookup_Tables!$H$5:$H$9,MATCH(UPPER(TRIM('Raw_Data (Before)'!I369)),Lookup_Tables!$G$5:$G$9,0)),"UNMAPPED")</f>
        <v>Active</v>
      </c>
      <c r="M369" s="7" t="str">
        <f aca="false">IF(COUNTIF('Raw_Data (Before)'!$A$5:$A$424,A369)&gt;1,"YES","No")</f>
        <v>No</v>
      </c>
      <c r="N369" s="7" t="str">
        <f aca="false">IF(OR(C369="UNMAPPED",D369="UNMAPPED",F369="No",H369="No",J369="No",K369="No",L369="UNMAPPED",M369="YES"),"NEEDS REVIEW","OK")</f>
        <v>OK</v>
      </c>
    </row>
    <row r="370" customFormat="false" ht="15" hidden="false" customHeight="false" outlineLevel="0" collapsed="false">
      <c r="A370" s="7" t="str">
        <f aca="false">'Raw_Data (Before)'!A370</f>
        <v>EMP0065</v>
      </c>
      <c r="B370" s="7" t="str">
        <f aca="false">PROPER(TRIM('Raw_Data (Before)'!B370))</f>
        <v>Comfort Chukwu</v>
      </c>
      <c r="C370" s="7" t="str">
        <f aca="false">IFERROR(INDEX(Lookup_Tables!$B$5:$B$24,MATCH(UPPER(TRIM('Raw_Data (Before)'!C370)),Lookup_Tables!$A$5:$A$24,0)),"UNMAPPED")</f>
        <v>Sales</v>
      </c>
      <c r="D370" s="7" t="str">
        <f aca="false">IFERROR(INDEX(Lookup_Tables!$E$5:$E$8,MATCH(UPPER(TRIM('Raw_Data (Before)'!D370)),Lookup_Tables!$D$5:$D$8,0)),"UNMAPPED")</f>
        <v>Male</v>
      </c>
      <c r="E370" s="7" t="n">
        <f aca="false">'Raw_Data (Before)'!E370</f>
        <v>32</v>
      </c>
      <c r="F370" s="7" t="str">
        <f aca="false">IF(E370="","No",IF(OR(E370&lt;16,E370&gt;75),"No","Yes"))</f>
        <v>Yes</v>
      </c>
      <c r="G370" s="7" t="n">
        <f aca="false">IFERROR(VALUE(SUBSTITUTE(SUBSTITUTE('Raw_Data (Before)'!F370,"₦",""),",","")),"")</f>
        <v>550930</v>
      </c>
      <c r="H370" s="7" t="str">
        <f aca="false">IF(G370="","No",IF(OR(G370&lt;=0,G370&gt;5000000),"No","Yes"))</f>
        <v>Yes</v>
      </c>
      <c r="I370" s="8" t="n">
        <f aca="false">IFERROR(DATEVALUE('Raw_Data (Before)'!G370),"")</f>
        <v>43408</v>
      </c>
      <c r="J370" s="7" t="str">
        <f aca="false">IF(I370="","No","Yes")</f>
        <v>Yes</v>
      </c>
      <c r="K370" s="7" t="str">
        <f aca="false">IF(OR(ISERROR(FIND("@",'Raw_Data (Before)'!H370)),ISNUMBER(FIND("@@",'Raw_Data (Before)'!H370)),ISNUMBER(FIND(" ",'Raw_Data (Before)'!H370)),ISERROR(FIND(".",'Raw_Data (Before)'!H370,FIND("@",'Raw_Data (Before)'!H370)))),"No","Yes")</f>
        <v>Yes</v>
      </c>
      <c r="L370" s="7" t="str">
        <f aca="false">IFERROR(INDEX(Lookup_Tables!$H$5:$H$9,MATCH(UPPER(TRIM('Raw_Data (Before)'!I370)),Lookup_Tables!$G$5:$G$9,0)),"UNMAPPED")</f>
        <v>Active</v>
      </c>
      <c r="M370" s="7" t="str">
        <f aca="false">IF(COUNTIF('Raw_Data (Before)'!$A$5:$A$424,A370)&gt;1,"YES","No")</f>
        <v>No</v>
      </c>
      <c r="N370" s="7" t="str">
        <f aca="false">IF(OR(C370="UNMAPPED",D370="UNMAPPED",F370="No",H370="No",J370="No",K370="No",L370="UNMAPPED",M370="YES"),"NEEDS REVIEW","OK")</f>
        <v>OK</v>
      </c>
    </row>
    <row r="371" customFormat="false" ht="15" hidden="false" customHeight="false" outlineLevel="0" collapsed="false">
      <c r="A371" s="7" t="str">
        <f aca="false">'Raw_Data (Before)'!A371</f>
        <v>EMP0291</v>
      </c>
      <c r="B371" s="7" t="str">
        <f aca="false">PROPER(TRIM('Raw_Data (Before)'!B371))</f>
        <v>Tunde Ogundipe</v>
      </c>
      <c r="C371" s="7" t="str">
        <f aca="false">IFERROR(INDEX(Lookup_Tables!$B$5:$B$24,MATCH(UPPER(TRIM('Raw_Data (Before)'!C371)),Lookup_Tables!$A$5:$A$24,0)),"UNMAPPED")</f>
        <v>Finance</v>
      </c>
      <c r="D371" s="7" t="str">
        <f aca="false">IFERROR(INDEX(Lookup_Tables!$E$5:$E$8,MATCH(UPPER(TRIM('Raw_Data (Before)'!D371)),Lookup_Tables!$D$5:$D$8,0)),"UNMAPPED")</f>
        <v>Female</v>
      </c>
      <c r="E371" s="7" t="n">
        <f aca="false">'Raw_Data (Before)'!E371</f>
        <v>26</v>
      </c>
      <c r="F371" s="7" t="str">
        <f aca="false">IF(E371="","No",IF(OR(E371&lt;16,E371&gt;75),"No","Yes"))</f>
        <v>Yes</v>
      </c>
      <c r="G371" s="7" t="n">
        <f aca="false">IFERROR(VALUE(SUBSTITUTE(SUBSTITUTE('Raw_Data (Before)'!F371,"₦",""),",","")),"")</f>
        <v>102615</v>
      </c>
      <c r="H371" s="7" t="str">
        <f aca="false">IF(G371="","No",IF(OR(G371&lt;=0,G371&gt;5000000),"No","Yes"))</f>
        <v>Yes</v>
      </c>
      <c r="I371" s="8" t="n">
        <f aca="false">IFERROR(DATEVALUE('Raw_Data (Before)'!G371),"")</f>
        <v>45454</v>
      </c>
      <c r="J371" s="7" t="str">
        <f aca="false">IF(I371="","No","Yes")</f>
        <v>Yes</v>
      </c>
      <c r="K371" s="7" t="str">
        <f aca="false">IF(OR(ISERROR(FIND("@",'Raw_Data (Before)'!H371)),ISNUMBER(FIND("@@",'Raw_Data (Before)'!H371)),ISNUMBER(FIND(" ",'Raw_Data (Before)'!H371)),ISERROR(FIND(".",'Raw_Data (Before)'!H371,FIND("@",'Raw_Data (Before)'!H371)))),"No","Yes")</f>
        <v>Yes</v>
      </c>
      <c r="L371" s="7" t="str">
        <f aca="false">IFERROR(INDEX(Lookup_Tables!$H$5:$H$9,MATCH(UPPER(TRIM('Raw_Data (Before)'!I371)),Lookup_Tables!$G$5:$G$9,0)),"UNMAPPED")</f>
        <v>Inactive</v>
      </c>
      <c r="M371" s="7" t="str">
        <f aca="false">IF(COUNTIF('Raw_Data (Before)'!$A$5:$A$424,A371)&gt;1,"YES","No")</f>
        <v>No</v>
      </c>
      <c r="N371" s="7" t="str">
        <f aca="false">IF(OR(C371="UNMAPPED",D371="UNMAPPED",F371="No",H371="No",J371="No",K371="No",L371="UNMAPPED",M371="YES"),"NEEDS REVIEW","OK")</f>
        <v>OK</v>
      </c>
    </row>
    <row r="372" customFormat="false" ht="15" hidden="false" customHeight="false" outlineLevel="0" collapsed="false">
      <c r="A372" s="7" t="str">
        <f aca="false">'Raw_Data (Before)'!A372</f>
        <v>EMP0164</v>
      </c>
      <c r="B372" s="7" t="str">
        <f aca="false">PROPER(TRIM('Raw_Data (Before)'!B372))</f>
        <v>Amaka Uche</v>
      </c>
      <c r="C372" s="7" t="str">
        <f aca="false">IFERROR(INDEX(Lookup_Tables!$B$5:$B$24,MATCH(UPPER(TRIM('Raw_Data (Before)'!C372)),Lookup_Tables!$A$5:$A$24,0)),"UNMAPPED")</f>
        <v>Sales</v>
      </c>
      <c r="D372" s="7" t="str">
        <f aca="false">IFERROR(INDEX(Lookup_Tables!$E$5:$E$8,MATCH(UPPER(TRIM('Raw_Data (Before)'!D372)),Lookup_Tables!$D$5:$D$8,0)),"UNMAPPED")</f>
        <v>Male</v>
      </c>
      <c r="E372" s="7" t="n">
        <f aca="false">'Raw_Data (Before)'!E372</f>
        <v>30</v>
      </c>
      <c r="F372" s="7" t="str">
        <f aca="false">IF(E372="","No",IF(OR(E372&lt;16,E372&gt;75),"No","Yes"))</f>
        <v>Yes</v>
      </c>
      <c r="G372" s="7" t="n">
        <f aca="false">IFERROR(VALUE(SUBSTITUTE(SUBSTITUTE('Raw_Data (Before)'!F372,"₦",""),",","")),"")</f>
        <v>682373</v>
      </c>
      <c r="H372" s="7" t="str">
        <f aca="false">IF(G372="","No",IF(OR(G372&lt;=0,G372&gt;5000000),"No","Yes"))</f>
        <v>Yes</v>
      </c>
      <c r="I372" s="8" t="n">
        <f aca="false">IFERROR(DATEVALUE('Raw_Data (Before)'!G372),"")</f>
        <v>45750</v>
      </c>
      <c r="J372" s="7" t="str">
        <f aca="false">IF(I372="","No","Yes")</f>
        <v>Yes</v>
      </c>
      <c r="K372" s="7" t="str">
        <f aca="false">IF(OR(ISERROR(FIND("@",'Raw_Data (Before)'!H372)),ISNUMBER(FIND("@@",'Raw_Data (Before)'!H372)),ISNUMBER(FIND(" ",'Raw_Data (Before)'!H372)),ISERROR(FIND(".",'Raw_Data (Before)'!H372,FIND("@",'Raw_Data (Before)'!H372)))),"No","Yes")</f>
        <v>Yes</v>
      </c>
      <c r="L372" s="7" t="str">
        <f aca="false">IFERROR(INDEX(Lookup_Tables!$H$5:$H$9,MATCH(UPPER(TRIM('Raw_Data (Before)'!I372)),Lookup_Tables!$G$5:$G$9,0)),"UNMAPPED")</f>
        <v>Active</v>
      </c>
      <c r="M372" s="7" t="str">
        <f aca="false">IF(COUNTIF('Raw_Data (Before)'!$A$5:$A$424,A372)&gt;1,"YES","No")</f>
        <v>No</v>
      </c>
      <c r="N372" s="7" t="str">
        <f aca="false">IF(OR(C372="UNMAPPED",D372="UNMAPPED",F372="No",H372="No",J372="No",K372="No",L372="UNMAPPED",M372="YES"),"NEEDS REVIEW","OK")</f>
        <v>OK</v>
      </c>
    </row>
    <row r="373" customFormat="false" ht="15" hidden="false" customHeight="false" outlineLevel="0" collapsed="false">
      <c r="A373" s="7" t="str">
        <f aca="false">'Raw_Data (Before)'!A373</f>
        <v>EMP0227</v>
      </c>
      <c r="B373" s="7" t="str">
        <f aca="false">PROPER(TRIM('Raw_Data (Before)'!B373))</f>
        <v>Ifeoma Adeyemi</v>
      </c>
      <c r="C373" s="7" t="str">
        <f aca="false">IFERROR(INDEX(Lookup_Tables!$B$5:$B$24,MATCH(UPPER(TRIM('Raw_Data (Before)'!C373)),Lookup_Tables!$A$5:$A$24,0)),"UNMAPPED")</f>
        <v>Operations</v>
      </c>
      <c r="D373" s="7" t="str">
        <f aca="false">IFERROR(INDEX(Lookup_Tables!$E$5:$E$8,MATCH(UPPER(TRIM('Raw_Data (Before)'!D373)),Lookup_Tables!$D$5:$D$8,0)),"UNMAPPED")</f>
        <v>Female</v>
      </c>
      <c r="E373" s="7" t="n">
        <f aca="false">'Raw_Data (Before)'!E373</f>
        <v>43</v>
      </c>
      <c r="F373" s="7" t="str">
        <f aca="false">IF(E373="","No",IF(OR(E373&lt;16,E373&gt;75),"No","Yes"))</f>
        <v>Yes</v>
      </c>
      <c r="G373" s="7" t="n">
        <f aca="false">IFERROR(VALUE(SUBSTITUTE(SUBSTITUTE('Raw_Data (Before)'!F373,"₦",""),",","")),"")</f>
        <v>775210</v>
      </c>
      <c r="H373" s="7" t="str">
        <f aca="false">IF(G373="","No",IF(OR(G373&lt;=0,G373&gt;5000000),"No","Yes"))</f>
        <v>Yes</v>
      </c>
      <c r="I373" s="8" t="n">
        <f aca="false">IFERROR(DATEVALUE('Raw_Data (Before)'!G373),"")</f>
        <v>44131</v>
      </c>
      <c r="J373" s="7" t="str">
        <f aca="false">IF(I373="","No","Yes")</f>
        <v>Yes</v>
      </c>
      <c r="K373" s="7" t="str">
        <f aca="false">IF(OR(ISERROR(FIND("@",'Raw_Data (Before)'!H373)),ISNUMBER(FIND("@@",'Raw_Data (Before)'!H373)),ISNUMBER(FIND(" ",'Raw_Data (Before)'!H373)),ISERROR(FIND(".",'Raw_Data (Before)'!H373,FIND("@",'Raw_Data (Before)'!H373)))),"No","Yes")</f>
        <v>Yes</v>
      </c>
      <c r="L373" s="7" t="str">
        <f aca="false">IFERROR(INDEX(Lookup_Tables!$H$5:$H$9,MATCH(UPPER(TRIM('Raw_Data (Before)'!I373)),Lookup_Tables!$G$5:$G$9,0)),"UNMAPPED")</f>
        <v>Active</v>
      </c>
      <c r="M373" s="7" t="str">
        <f aca="false">IF(COUNTIF('Raw_Data (Before)'!$A$5:$A$424,A373)&gt;1,"YES","No")</f>
        <v>No</v>
      </c>
      <c r="N373" s="7" t="str">
        <f aca="false">IF(OR(C373="UNMAPPED",D373="UNMAPPED",F373="No",H373="No",J373="No",K373="No",L373="UNMAPPED",M373="YES"),"NEEDS REVIEW","OK")</f>
        <v>OK</v>
      </c>
    </row>
    <row r="374" customFormat="false" ht="15" hidden="false" customHeight="false" outlineLevel="0" collapsed="false">
      <c r="A374" s="7" t="str">
        <f aca="false">'Raw_Data (Before)'!A374</f>
        <v>EMP0344</v>
      </c>
      <c r="B374" s="7" t="str">
        <f aca="false">PROPER(TRIM('Raw_Data (Before)'!B374))</f>
        <v>Hauwa Okonkwo</v>
      </c>
      <c r="C374" s="7" t="str">
        <f aca="false">IFERROR(INDEX(Lookup_Tables!$B$5:$B$24,MATCH(UPPER(TRIM('Raw_Data (Before)'!C374)),Lookup_Tables!$A$5:$A$24,0)),"UNMAPPED")</f>
        <v>Finance</v>
      </c>
      <c r="D374" s="7" t="str">
        <f aca="false">IFERROR(INDEX(Lookup_Tables!$E$5:$E$8,MATCH(UPPER(TRIM('Raw_Data (Before)'!D374)),Lookup_Tables!$D$5:$D$8,0)),"UNMAPPED")</f>
        <v>Male</v>
      </c>
      <c r="E374" s="7" t="n">
        <f aca="false">'Raw_Data (Before)'!E374</f>
        <v>37</v>
      </c>
      <c r="F374" s="7" t="str">
        <f aca="false">IF(E374="","No",IF(OR(E374&lt;16,E374&gt;75),"No","Yes"))</f>
        <v>Yes</v>
      </c>
      <c r="G374" s="7" t="n">
        <f aca="false">IFERROR(VALUE(SUBSTITUTE(SUBSTITUTE('Raw_Data (Before)'!F374,"₦",""),",","")),"")</f>
        <v>713501</v>
      </c>
      <c r="H374" s="7" t="str">
        <f aca="false">IF(G374="","No",IF(OR(G374&lt;=0,G374&gt;5000000),"No","Yes"))</f>
        <v>Yes</v>
      </c>
      <c r="I374" s="8" t="n">
        <f aca="false">IFERROR(DATEVALUE('Raw_Data (Before)'!G374),"")</f>
        <v>43225</v>
      </c>
      <c r="J374" s="7" t="str">
        <f aca="false">IF(I374="","No","Yes")</f>
        <v>Yes</v>
      </c>
      <c r="K374" s="7" t="str">
        <f aca="false">IF(OR(ISERROR(FIND("@",'Raw_Data (Before)'!H374)),ISNUMBER(FIND("@@",'Raw_Data (Before)'!H374)),ISNUMBER(FIND(" ",'Raw_Data (Before)'!H374)),ISERROR(FIND(".",'Raw_Data (Before)'!H374,FIND("@",'Raw_Data (Before)'!H374)))),"No","Yes")</f>
        <v>Yes</v>
      </c>
      <c r="L374" s="7" t="str">
        <f aca="false">IFERROR(INDEX(Lookup_Tables!$H$5:$H$9,MATCH(UPPER(TRIM('Raw_Data (Before)'!I374)),Lookup_Tables!$G$5:$G$9,0)),"UNMAPPED")</f>
        <v>Active</v>
      </c>
      <c r="M374" s="7" t="str">
        <f aca="false">IF(COUNTIF('Raw_Data (Before)'!$A$5:$A$424,A374)&gt;1,"YES","No")</f>
        <v>No</v>
      </c>
      <c r="N374" s="7" t="str">
        <f aca="false">IF(OR(C374="UNMAPPED",D374="UNMAPPED",F374="No",H374="No",J374="No",K374="No",L374="UNMAPPED",M374="YES"),"NEEDS REVIEW","OK")</f>
        <v>OK</v>
      </c>
    </row>
    <row r="375" customFormat="false" ht="15" hidden="false" customHeight="false" outlineLevel="0" collapsed="false">
      <c r="A375" s="7" t="str">
        <f aca="false">'Raw_Data (Before)'!A375</f>
        <v>EMP0114</v>
      </c>
      <c r="B375" s="7" t="str">
        <f aca="false">PROPER(TRIM('Raw_Data (Before)'!B375))</f>
        <v>Ahmed Balogun</v>
      </c>
      <c r="C375" s="7" t="str">
        <f aca="false">IFERROR(INDEX(Lookup_Tables!$B$5:$B$24,MATCH(UPPER(TRIM('Raw_Data (Before)'!C375)),Lookup_Tables!$A$5:$A$24,0)),"UNMAPPED")</f>
        <v>Operations</v>
      </c>
      <c r="D375" s="7" t="str">
        <f aca="false">IFERROR(INDEX(Lookup_Tables!$E$5:$E$8,MATCH(UPPER(TRIM('Raw_Data (Before)'!D375)),Lookup_Tables!$D$5:$D$8,0)),"UNMAPPED")</f>
        <v>Female</v>
      </c>
      <c r="E375" s="7" t="n">
        <f aca="false">'Raw_Data (Before)'!E375</f>
        <v>46</v>
      </c>
      <c r="F375" s="7" t="str">
        <f aca="false">IF(E375="","No",IF(OR(E375&lt;16,E375&gt;75),"No","Yes"))</f>
        <v>Yes</v>
      </c>
      <c r="G375" s="7" t="n">
        <f aca="false">IFERROR(VALUE(SUBSTITUTE(SUBSTITUTE('Raw_Data (Before)'!F375,"₦",""),",","")),"")</f>
        <v>429932</v>
      </c>
      <c r="H375" s="7" t="str">
        <f aca="false">IF(G375="","No",IF(OR(G375&lt;=0,G375&gt;5000000),"No","Yes"))</f>
        <v>Yes</v>
      </c>
      <c r="I375" s="8" t="n">
        <f aca="false">IFERROR(DATEVALUE('Raw_Data (Before)'!G375),"")</f>
        <v>44300</v>
      </c>
      <c r="J375" s="7" t="str">
        <f aca="false">IF(I375="","No","Yes")</f>
        <v>Yes</v>
      </c>
      <c r="K375" s="7" t="str">
        <f aca="false">IF(OR(ISERROR(FIND("@",'Raw_Data (Before)'!H375)),ISNUMBER(FIND("@@",'Raw_Data (Before)'!H375)),ISNUMBER(FIND(" ",'Raw_Data (Before)'!H375)),ISERROR(FIND(".",'Raw_Data (Before)'!H375,FIND("@",'Raw_Data (Before)'!H375)))),"No","Yes")</f>
        <v>Yes</v>
      </c>
      <c r="L375" s="7" t="str">
        <f aca="false">IFERROR(INDEX(Lookup_Tables!$H$5:$H$9,MATCH(UPPER(TRIM('Raw_Data (Before)'!I375)),Lookup_Tables!$G$5:$G$9,0)),"UNMAPPED")</f>
        <v>Active</v>
      </c>
      <c r="M375" s="7" t="str">
        <f aca="false">IF(COUNTIF('Raw_Data (Before)'!$A$5:$A$424,A375)&gt;1,"YES","No")</f>
        <v>No</v>
      </c>
      <c r="N375" s="7" t="str">
        <f aca="false">IF(OR(C375="UNMAPPED",D375="UNMAPPED",F375="No",H375="No",J375="No",K375="No",L375="UNMAPPED",M375="YES"),"NEEDS REVIEW","OK")</f>
        <v>OK</v>
      </c>
    </row>
    <row r="376" customFormat="false" ht="15" hidden="false" customHeight="false" outlineLevel="0" collapsed="false">
      <c r="A376" s="7" t="str">
        <f aca="false">'Raw_Data (Before)'!A376</f>
        <v>EMP0293</v>
      </c>
      <c r="B376" s="7" t="str">
        <f aca="false">PROPER(TRIM('Raw_Data (Before)'!B376))</f>
        <v>Comfort Obi</v>
      </c>
      <c r="C376" s="7" t="str">
        <f aca="false">IFERROR(INDEX(Lookup_Tables!$B$5:$B$24,MATCH(UPPER(TRIM('Raw_Data (Before)'!C376)),Lookup_Tables!$A$5:$A$24,0)),"UNMAPPED")</f>
        <v>Marketing</v>
      </c>
      <c r="D376" s="7" t="str">
        <f aca="false">IFERROR(INDEX(Lookup_Tables!$E$5:$E$8,MATCH(UPPER(TRIM('Raw_Data (Before)'!D376)),Lookup_Tables!$D$5:$D$8,0)),"UNMAPPED")</f>
        <v>Female</v>
      </c>
      <c r="E376" s="7" t="n">
        <f aca="false">'Raw_Data (Before)'!E376</f>
        <v>5</v>
      </c>
      <c r="F376" s="7" t="str">
        <f aca="false">IF(E376="","No",IF(OR(E376&lt;16,E376&gt;75),"No","Yes"))</f>
        <v>No</v>
      </c>
      <c r="G376" s="7" t="n">
        <f aca="false">IFERROR(VALUE(SUBSTITUTE(SUBSTITUTE('Raw_Data (Before)'!F376,"₦",""),",","")),"")</f>
        <v>650396</v>
      </c>
      <c r="H376" s="7" t="str">
        <f aca="false">IF(G376="","No",IF(OR(G376&lt;=0,G376&gt;5000000),"No","Yes"))</f>
        <v>Yes</v>
      </c>
      <c r="I376" s="8" t="n">
        <f aca="false">IFERROR(DATEVALUE('Raw_Data (Before)'!G376),"")</f>
        <v>44790</v>
      </c>
      <c r="J376" s="7" t="str">
        <f aca="false">IF(I376="","No","Yes")</f>
        <v>Yes</v>
      </c>
      <c r="K376" s="7" t="str">
        <f aca="false">IF(OR(ISERROR(FIND("@",'Raw_Data (Before)'!H376)),ISNUMBER(FIND("@@",'Raw_Data (Before)'!H376)),ISNUMBER(FIND(" ",'Raw_Data (Before)'!H376)),ISERROR(FIND(".",'Raw_Data (Before)'!H376,FIND("@",'Raw_Data (Before)'!H376)))),"No","Yes")</f>
        <v>Yes</v>
      </c>
      <c r="L376" s="7" t="str">
        <f aca="false">IFERROR(INDEX(Lookup_Tables!$H$5:$H$9,MATCH(UPPER(TRIM('Raw_Data (Before)'!I376)),Lookup_Tables!$G$5:$G$9,0)),"UNMAPPED")</f>
        <v>Active</v>
      </c>
      <c r="M376" s="7" t="str">
        <f aca="false">IF(COUNTIF('Raw_Data (Before)'!$A$5:$A$424,A376)&gt;1,"YES","No")</f>
        <v>No</v>
      </c>
      <c r="N376" s="7" t="str">
        <f aca="false">IF(OR(C376="UNMAPPED",D376="UNMAPPED",F376="No",H376="No",J376="No",K376="No",L376="UNMAPPED",M376="YES"),"NEEDS REVIEW","OK")</f>
        <v>NEEDS REVIEW</v>
      </c>
    </row>
    <row r="377" customFormat="false" ht="15" hidden="false" customHeight="false" outlineLevel="0" collapsed="false">
      <c r="A377" s="7" t="str">
        <f aca="false">'Raw_Data (Before)'!A377</f>
        <v>EMP0382</v>
      </c>
      <c r="B377" s="7" t="str">
        <f aca="false">PROPER(TRIM('Raw_Data (Before)'!B377))</f>
        <v>Daniel Duru</v>
      </c>
      <c r="C377" s="7" t="str">
        <f aca="false">IFERROR(INDEX(Lookup_Tables!$B$5:$B$24,MATCH(UPPER(TRIM('Raw_Data (Before)'!C377)),Lookup_Tables!$A$5:$A$24,0)),"UNMAPPED")</f>
        <v>Marketing</v>
      </c>
      <c r="D377" s="7" t="str">
        <f aca="false">IFERROR(INDEX(Lookup_Tables!$E$5:$E$8,MATCH(UPPER(TRIM('Raw_Data (Before)'!D377)),Lookup_Tables!$D$5:$D$8,0)),"UNMAPPED")</f>
        <v>Female</v>
      </c>
      <c r="E377" s="7" t="n">
        <f aca="false">'Raw_Data (Before)'!E377</f>
        <v>44</v>
      </c>
      <c r="F377" s="7" t="str">
        <f aca="false">IF(E377="","No",IF(OR(E377&lt;16,E377&gt;75),"No","Yes"))</f>
        <v>Yes</v>
      </c>
      <c r="G377" s="7" t="n">
        <f aca="false">IFERROR(VALUE(SUBSTITUTE(SUBSTITUTE('Raw_Data (Before)'!F377,"₦",""),",","")),"")</f>
        <v>431240</v>
      </c>
      <c r="H377" s="7" t="str">
        <f aca="false">IF(G377="","No",IF(OR(G377&lt;=0,G377&gt;5000000),"No","Yes"))</f>
        <v>Yes</v>
      </c>
      <c r="I377" s="8" t="n">
        <f aca="false">IFERROR(DATEVALUE('Raw_Data (Before)'!G377),"")</f>
        <v>45297</v>
      </c>
      <c r="J377" s="7" t="str">
        <f aca="false">IF(I377="","No","Yes")</f>
        <v>Yes</v>
      </c>
      <c r="K377" s="7" t="str">
        <f aca="false">IF(OR(ISERROR(FIND("@",'Raw_Data (Before)'!H377)),ISNUMBER(FIND("@@",'Raw_Data (Before)'!H377)),ISNUMBER(FIND(" ",'Raw_Data (Before)'!H377)),ISERROR(FIND(".",'Raw_Data (Before)'!H377,FIND("@",'Raw_Data (Before)'!H377)))),"No","Yes")</f>
        <v>Yes</v>
      </c>
      <c r="L377" s="7" t="str">
        <f aca="false">IFERROR(INDEX(Lookup_Tables!$H$5:$H$9,MATCH(UPPER(TRIM('Raw_Data (Before)'!I377)),Lookup_Tables!$G$5:$G$9,0)),"UNMAPPED")</f>
        <v>Active</v>
      </c>
      <c r="M377" s="7" t="str">
        <f aca="false">IF(COUNTIF('Raw_Data (Before)'!$A$5:$A$424,A377)&gt;1,"YES","No")</f>
        <v>No</v>
      </c>
      <c r="N377" s="7" t="str">
        <f aca="false">IF(OR(C377="UNMAPPED",D377="UNMAPPED",F377="No",H377="No",J377="No",K377="No",L377="UNMAPPED",M377="YES"),"NEEDS REVIEW","OK")</f>
        <v>OK</v>
      </c>
    </row>
    <row r="378" customFormat="false" ht="15" hidden="false" customHeight="false" outlineLevel="0" collapsed="false">
      <c r="A378" s="7" t="str">
        <f aca="false">'Raw_Data (Before)'!A378</f>
        <v>EMP0315</v>
      </c>
      <c r="B378" s="7" t="str">
        <f aca="false">PROPER(TRIM('Raw_Data (Before)'!B378))</f>
        <v>Samuel Ajayi</v>
      </c>
      <c r="C378" s="7" t="str">
        <f aca="false">IFERROR(INDEX(Lookup_Tables!$B$5:$B$24,MATCH(UPPER(TRIM('Raw_Data (Before)'!C378)),Lookup_Tables!$A$5:$A$24,0)),"UNMAPPED")</f>
        <v>HR</v>
      </c>
      <c r="D378" s="7" t="str">
        <f aca="false">IFERROR(INDEX(Lookup_Tables!$E$5:$E$8,MATCH(UPPER(TRIM('Raw_Data (Before)'!D378)),Lookup_Tables!$D$5:$D$8,0)),"UNMAPPED")</f>
        <v>Female</v>
      </c>
      <c r="E378" s="7" t="n">
        <f aca="false">'Raw_Data (Before)'!E378</f>
        <v>41</v>
      </c>
      <c r="F378" s="7" t="str">
        <f aca="false">IF(E378="","No",IF(OR(E378&lt;16,E378&gt;75),"No","Yes"))</f>
        <v>Yes</v>
      </c>
      <c r="G378" s="7" t="n">
        <f aca="false">IFERROR(VALUE(SUBSTITUTE(SUBSTITUTE('Raw_Data (Before)'!F378,"₦",""),",","")),"")</f>
        <v>918438</v>
      </c>
      <c r="H378" s="7" t="str">
        <f aca="false">IF(G378="","No",IF(OR(G378&lt;=0,G378&gt;5000000),"No","Yes"))</f>
        <v>Yes</v>
      </c>
      <c r="I378" s="8" t="n">
        <f aca="false">IFERROR(DATEVALUE('Raw_Data (Before)'!G378),"")</f>
        <v>45657</v>
      </c>
      <c r="J378" s="7" t="str">
        <f aca="false">IF(I378="","No","Yes")</f>
        <v>Yes</v>
      </c>
      <c r="K378" s="7" t="str">
        <f aca="false">IF(OR(ISERROR(FIND("@",'Raw_Data (Before)'!H378)),ISNUMBER(FIND("@@",'Raw_Data (Before)'!H378)),ISNUMBER(FIND(" ",'Raw_Data (Before)'!H378)),ISERROR(FIND(".",'Raw_Data (Before)'!H378,FIND("@",'Raw_Data (Before)'!H378)))),"No","Yes")</f>
        <v>Yes</v>
      </c>
      <c r="L378" s="7" t="str">
        <f aca="false">IFERROR(INDEX(Lookup_Tables!$H$5:$H$9,MATCH(UPPER(TRIM('Raw_Data (Before)'!I378)),Lookup_Tables!$G$5:$G$9,0)),"UNMAPPED")</f>
        <v>Active</v>
      </c>
      <c r="M378" s="7" t="str">
        <f aca="false">IF(COUNTIF('Raw_Data (Before)'!$A$5:$A$424,A378)&gt;1,"YES","No")</f>
        <v>YES</v>
      </c>
      <c r="N378" s="7" t="str">
        <f aca="false">IF(OR(C378="UNMAPPED",D378="UNMAPPED",F378="No",H378="No",J378="No",K378="No",L378="UNMAPPED",M378="YES"),"NEEDS REVIEW","OK")</f>
        <v>NEEDS REVIEW</v>
      </c>
    </row>
    <row r="379" customFormat="false" ht="15" hidden="false" customHeight="false" outlineLevel="0" collapsed="false">
      <c r="A379" s="7" t="str">
        <f aca="false">'Raw_Data (Before)'!A379</f>
        <v>EMP0103</v>
      </c>
      <c r="B379" s="7" t="str">
        <f aca="false">PROPER(TRIM('Raw_Data (Before)'!B379))</f>
        <v>Emeka Sani</v>
      </c>
      <c r="C379" s="7" t="str">
        <f aca="false">IFERROR(INDEX(Lookup_Tables!$B$5:$B$24,MATCH(UPPER(TRIM('Raw_Data (Before)'!C379)),Lookup_Tables!$A$5:$A$24,0)),"UNMAPPED")</f>
        <v>IT</v>
      </c>
      <c r="D379" s="7" t="str">
        <f aca="false">IFERROR(INDEX(Lookup_Tables!$E$5:$E$8,MATCH(UPPER(TRIM('Raw_Data (Before)'!D379)),Lookup_Tables!$D$5:$D$8,0)),"UNMAPPED")</f>
        <v>Male</v>
      </c>
      <c r="E379" s="7" t="n">
        <f aca="false">'Raw_Data (Before)'!E379</f>
        <v>51</v>
      </c>
      <c r="F379" s="7" t="str">
        <f aca="false">IF(E379="","No",IF(OR(E379&lt;16,E379&gt;75),"No","Yes"))</f>
        <v>Yes</v>
      </c>
      <c r="G379" s="7" t="n">
        <f aca="false">IFERROR(VALUE(SUBSTITUTE(SUBSTITUTE('Raw_Data (Before)'!F379,"₦",""),",","")),"")</f>
        <v>617071</v>
      </c>
      <c r="H379" s="7" t="str">
        <f aca="false">IF(G379="","No",IF(OR(G379&lt;=0,G379&gt;5000000),"No","Yes"))</f>
        <v>Yes</v>
      </c>
      <c r="I379" s="8" t="n">
        <f aca="false">IFERROR(DATEVALUE('Raw_Data (Before)'!G379),"")</f>
        <v>45454</v>
      </c>
      <c r="J379" s="7" t="str">
        <f aca="false">IF(I379="","No","Yes")</f>
        <v>Yes</v>
      </c>
      <c r="K379" s="7" t="str">
        <f aca="false">IF(OR(ISERROR(FIND("@",'Raw_Data (Before)'!H379)),ISNUMBER(FIND("@@",'Raw_Data (Before)'!H379)),ISNUMBER(FIND(" ",'Raw_Data (Before)'!H379)),ISERROR(FIND(".",'Raw_Data (Before)'!H379,FIND("@",'Raw_Data (Before)'!H379)))),"No","Yes")</f>
        <v>Yes</v>
      </c>
      <c r="L379" s="7" t="str">
        <f aca="false">IFERROR(INDEX(Lookup_Tables!$H$5:$H$9,MATCH(UPPER(TRIM('Raw_Data (Before)'!I379)),Lookup_Tables!$G$5:$G$9,0)),"UNMAPPED")</f>
        <v>Active</v>
      </c>
      <c r="M379" s="7" t="str">
        <f aca="false">IF(COUNTIF('Raw_Data (Before)'!$A$5:$A$424,A379)&gt;1,"YES","No")</f>
        <v>No</v>
      </c>
      <c r="N379" s="7" t="str">
        <f aca="false">IF(OR(C379="UNMAPPED",D379="UNMAPPED",F379="No",H379="No",J379="No",K379="No",L379="UNMAPPED",M379="YES"),"NEEDS REVIEW","OK")</f>
        <v>OK</v>
      </c>
    </row>
    <row r="380" customFormat="false" ht="15" hidden="false" customHeight="false" outlineLevel="0" collapsed="false">
      <c r="A380" s="7" t="str">
        <f aca="false">'Raw_Data (Before)'!A380</f>
        <v>EMP0348</v>
      </c>
      <c r="B380" s="7" t="str">
        <f aca="false">PROPER(TRIM('Raw_Data (Before)'!B380))</f>
        <v>Ibrahim Eze</v>
      </c>
      <c r="C380" s="7" t="str">
        <f aca="false">IFERROR(INDEX(Lookup_Tables!$B$5:$B$24,MATCH(UPPER(TRIM('Raw_Data (Before)'!C380)),Lookup_Tables!$A$5:$A$24,0)),"UNMAPPED")</f>
        <v>Operations</v>
      </c>
      <c r="D380" s="7" t="str">
        <f aca="false">IFERROR(INDEX(Lookup_Tables!$E$5:$E$8,MATCH(UPPER(TRIM('Raw_Data (Before)'!D380)),Lookup_Tables!$D$5:$D$8,0)),"UNMAPPED")</f>
        <v>Male</v>
      </c>
      <c r="E380" s="7" t="n">
        <f aca="false">'Raw_Data (Before)'!E380</f>
        <v>39</v>
      </c>
      <c r="F380" s="7" t="str">
        <f aca="false">IF(E380="","No",IF(OR(E380&lt;16,E380&gt;75),"No","Yes"))</f>
        <v>Yes</v>
      </c>
      <c r="G380" s="7" t="n">
        <f aca="false">IFERROR(VALUE(SUBSTITUTE(SUBSTITUTE('Raw_Data (Before)'!F380,"₦",""),",","")),"")</f>
        <v>272517</v>
      </c>
      <c r="H380" s="7" t="str">
        <f aca="false">IF(G380="","No",IF(OR(G380&lt;=0,G380&gt;5000000),"No","Yes"))</f>
        <v>Yes</v>
      </c>
      <c r="I380" s="8" t="n">
        <f aca="false">IFERROR(DATEVALUE('Raw_Data (Before)'!G380),"")</f>
        <v>45516</v>
      </c>
      <c r="J380" s="7" t="str">
        <f aca="false">IF(I380="","No","Yes")</f>
        <v>Yes</v>
      </c>
      <c r="K380" s="7" t="str">
        <f aca="false">IF(OR(ISERROR(FIND("@",'Raw_Data (Before)'!H380)),ISNUMBER(FIND("@@",'Raw_Data (Before)'!H380)),ISNUMBER(FIND(" ",'Raw_Data (Before)'!H380)),ISERROR(FIND(".",'Raw_Data (Before)'!H380,FIND("@",'Raw_Data (Before)'!H380)))),"No","Yes")</f>
        <v>Yes</v>
      </c>
      <c r="L380" s="7" t="str">
        <f aca="false">IFERROR(INDEX(Lookup_Tables!$H$5:$H$9,MATCH(UPPER(TRIM('Raw_Data (Before)'!I380)),Lookup_Tables!$G$5:$G$9,0)),"UNMAPPED")</f>
        <v>Active</v>
      </c>
      <c r="M380" s="7" t="str">
        <f aca="false">IF(COUNTIF('Raw_Data (Before)'!$A$5:$A$424,A380)&gt;1,"YES","No")</f>
        <v>No</v>
      </c>
      <c r="N380" s="7" t="str">
        <f aca="false">IF(OR(C380="UNMAPPED",D380="UNMAPPED",F380="No",H380="No",J380="No",K380="No",L380="UNMAPPED",M380="YES"),"NEEDS REVIEW","OK")</f>
        <v>OK</v>
      </c>
    </row>
    <row r="381" customFormat="false" ht="15" hidden="false" customHeight="false" outlineLevel="0" collapsed="false">
      <c r="A381" s="7" t="str">
        <f aca="false">'Raw_Data (Before)'!A381</f>
        <v>EMP0155</v>
      </c>
      <c r="B381" s="7" t="str">
        <f aca="false">PROPER(TRIM('Raw_Data (Before)'!B381))</f>
        <v>Peter Balogun</v>
      </c>
      <c r="C381" s="7" t="str">
        <f aca="false">IFERROR(INDEX(Lookup_Tables!$B$5:$B$24,MATCH(UPPER(TRIM('Raw_Data (Before)'!C381)),Lookup_Tables!$A$5:$A$24,0)),"UNMAPPED")</f>
        <v>Operations</v>
      </c>
      <c r="D381" s="7" t="str">
        <f aca="false">IFERROR(INDEX(Lookup_Tables!$E$5:$E$8,MATCH(UPPER(TRIM('Raw_Data (Before)'!D381)),Lookup_Tables!$D$5:$D$8,0)),"UNMAPPED")</f>
        <v>Male</v>
      </c>
      <c r="E381" s="7" t="n">
        <f aca="false">'Raw_Data (Before)'!E381</f>
        <v>51</v>
      </c>
      <c r="F381" s="7" t="str">
        <f aca="false">IF(E381="","No",IF(OR(E381&lt;16,E381&gt;75),"No","Yes"))</f>
        <v>Yes</v>
      </c>
      <c r="G381" s="7" t="n">
        <f aca="false">IFERROR(VALUE(SUBSTITUTE(SUBSTITUTE('Raw_Data (Before)'!F381,"₦",""),",","")),"")</f>
        <v>361734</v>
      </c>
      <c r="H381" s="7" t="str">
        <f aca="false">IF(G381="","No",IF(OR(G381&lt;=0,G381&gt;5000000),"No","Yes"))</f>
        <v>Yes</v>
      </c>
      <c r="I381" s="8" t="str">
        <f aca="false">IFERROR(DATEVALUE('Raw_Data (Before)'!G381),"")</f>
        <v/>
      </c>
      <c r="J381" s="7" t="str">
        <f aca="false">IF(I381="","No","Yes")</f>
        <v>No</v>
      </c>
      <c r="K381" s="7" t="str">
        <f aca="false">IF(OR(ISERROR(FIND("@",'Raw_Data (Before)'!H381)),ISNUMBER(FIND("@@",'Raw_Data (Before)'!H381)),ISNUMBER(FIND(" ",'Raw_Data (Before)'!H381)),ISERROR(FIND(".",'Raw_Data (Before)'!H381,FIND("@",'Raw_Data (Before)'!H381)))),"No","Yes")</f>
        <v>Yes</v>
      </c>
      <c r="L381" s="7" t="str">
        <f aca="false">IFERROR(INDEX(Lookup_Tables!$H$5:$H$9,MATCH(UPPER(TRIM('Raw_Data (Before)'!I381)),Lookup_Tables!$G$5:$G$9,0)),"UNMAPPED")</f>
        <v>Active</v>
      </c>
      <c r="M381" s="7" t="str">
        <f aca="false">IF(COUNTIF('Raw_Data (Before)'!$A$5:$A$424,A381)&gt;1,"YES","No")</f>
        <v>No</v>
      </c>
      <c r="N381" s="7" t="str">
        <f aca="false">IF(OR(C381="UNMAPPED",D381="UNMAPPED",F381="No",H381="No",J381="No",K381="No",L381="UNMAPPED",M381="YES"),"NEEDS REVIEW","OK")</f>
        <v>NEEDS REVIEW</v>
      </c>
    </row>
    <row r="382" customFormat="false" ht="15" hidden="false" customHeight="false" outlineLevel="0" collapsed="false">
      <c r="A382" s="7" t="str">
        <f aca="false">'Raw_Data (Before)'!A382</f>
        <v>EMP0159</v>
      </c>
      <c r="B382" s="7" t="str">
        <f aca="false">PROPER(TRIM('Raw_Data (Before)'!B382))</f>
        <v>Grace Adeyemi</v>
      </c>
      <c r="C382" s="7" t="str">
        <f aca="false">IFERROR(INDEX(Lookup_Tables!$B$5:$B$24,MATCH(UPPER(TRIM('Raw_Data (Before)'!C382)),Lookup_Tables!$A$5:$A$24,0)),"UNMAPPED")</f>
        <v>Operations</v>
      </c>
      <c r="D382" s="7" t="str">
        <f aca="false">IFERROR(INDEX(Lookup_Tables!$E$5:$E$8,MATCH(UPPER(TRIM('Raw_Data (Before)'!D382)),Lookup_Tables!$D$5:$D$8,0)),"UNMAPPED")</f>
        <v>Female</v>
      </c>
      <c r="E382" s="7" t="n">
        <f aca="false">'Raw_Data (Before)'!E382</f>
        <v>54</v>
      </c>
      <c r="F382" s="7" t="str">
        <f aca="false">IF(E382="","No",IF(OR(E382&lt;16,E382&gt;75),"No","Yes"))</f>
        <v>Yes</v>
      </c>
      <c r="G382" s="7" t="n">
        <f aca="false">IFERROR(VALUE(SUBSTITUTE(SUBSTITUTE('Raw_Data (Before)'!F382,"₦",""),",","")),"")</f>
        <v>945784</v>
      </c>
      <c r="H382" s="7" t="str">
        <f aca="false">IF(G382="","No",IF(OR(G382&lt;=0,G382&gt;5000000),"No","Yes"))</f>
        <v>Yes</v>
      </c>
      <c r="I382" s="8" t="n">
        <f aca="false">IFERROR(DATEVALUE('Raw_Data (Before)'!G382),"")</f>
        <v>45306</v>
      </c>
      <c r="J382" s="7" t="str">
        <f aca="false">IF(I382="","No","Yes")</f>
        <v>Yes</v>
      </c>
      <c r="K382" s="7" t="str">
        <f aca="false">IF(OR(ISERROR(FIND("@",'Raw_Data (Before)'!H382)),ISNUMBER(FIND("@@",'Raw_Data (Before)'!H382)),ISNUMBER(FIND(" ",'Raw_Data (Before)'!H382)),ISERROR(FIND(".",'Raw_Data (Before)'!H382,FIND("@",'Raw_Data (Before)'!H382)))),"No","Yes")</f>
        <v>Yes</v>
      </c>
      <c r="L382" s="7" t="str">
        <f aca="false">IFERROR(INDEX(Lookup_Tables!$H$5:$H$9,MATCH(UPPER(TRIM('Raw_Data (Before)'!I382)),Lookup_Tables!$G$5:$G$9,0)),"UNMAPPED")</f>
        <v>Inactive</v>
      </c>
      <c r="M382" s="7" t="str">
        <f aca="false">IF(COUNTIF('Raw_Data (Before)'!$A$5:$A$424,A382)&gt;1,"YES","No")</f>
        <v>No</v>
      </c>
      <c r="N382" s="7" t="str">
        <f aca="false">IF(OR(C382="UNMAPPED",D382="UNMAPPED",F382="No",H382="No",J382="No",K382="No",L382="UNMAPPED",M382="YES"),"NEEDS REVIEW","OK")</f>
        <v>OK</v>
      </c>
    </row>
    <row r="383" customFormat="false" ht="15" hidden="false" customHeight="false" outlineLevel="0" collapsed="false">
      <c r="A383" s="7" t="str">
        <f aca="false">'Raw_Data (Before)'!A383</f>
        <v>EMP0141</v>
      </c>
      <c r="B383" s="7" t="str">
        <f aca="false">PROPER(TRIM('Raw_Data (Before)'!B383))</f>
        <v>Kemi Nwosu</v>
      </c>
      <c r="C383" s="7" t="str">
        <f aca="false">IFERROR(INDEX(Lookup_Tables!$B$5:$B$24,MATCH(UPPER(TRIM('Raw_Data (Before)'!C383)),Lookup_Tables!$A$5:$A$24,0)),"UNMAPPED")</f>
        <v>Sales</v>
      </c>
      <c r="D383" s="7" t="str">
        <f aca="false">IFERROR(INDEX(Lookup_Tables!$E$5:$E$8,MATCH(UPPER(TRIM('Raw_Data (Before)'!D383)),Lookup_Tables!$D$5:$D$8,0)),"UNMAPPED")</f>
        <v>Female</v>
      </c>
      <c r="E383" s="7" t="n">
        <f aca="false">'Raw_Data (Before)'!E383</f>
        <v>52</v>
      </c>
      <c r="F383" s="7" t="str">
        <f aca="false">IF(E383="","No",IF(OR(E383&lt;16,E383&gt;75),"No","Yes"))</f>
        <v>Yes</v>
      </c>
      <c r="G383" s="7" t="n">
        <f aca="false">IFERROR(VALUE(SUBSTITUTE(SUBSTITUTE('Raw_Data (Before)'!F383,"₦",""),",","")),"")</f>
        <v>174717</v>
      </c>
      <c r="H383" s="7" t="str">
        <f aca="false">IF(G383="","No",IF(OR(G383&lt;=0,G383&gt;5000000),"No","Yes"))</f>
        <v>Yes</v>
      </c>
      <c r="I383" s="8" t="n">
        <f aca="false">IFERROR(DATEVALUE('Raw_Data (Before)'!G383),"")</f>
        <v>44474</v>
      </c>
      <c r="J383" s="7" t="str">
        <f aca="false">IF(I383="","No","Yes")</f>
        <v>Yes</v>
      </c>
      <c r="K383" s="7" t="str">
        <f aca="false">IF(OR(ISERROR(FIND("@",'Raw_Data (Before)'!H383)),ISNUMBER(FIND("@@",'Raw_Data (Before)'!H383)),ISNUMBER(FIND(" ",'Raw_Data (Before)'!H383)),ISERROR(FIND(".",'Raw_Data (Before)'!H383,FIND("@",'Raw_Data (Before)'!H383)))),"No","Yes")</f>
        <v>Yes</v>
      </c>
      <c r="L383" s="7" t="str">
        <f aca="false">IFERROR(INDEX(Lookup_Tables!$H$5:$H$9,MATCH(UPPER(TRIM('Raw_Data (Before)'!I383)),Lookup_Tables!$G$5:$G$9,0)),"UNMAPPED")</f>
        <v>Active</v>
      </c>
      <c r="M383" s="7" t="str">
        <f aca="false">IF(COUNTIF('Raw_Data (Before)'!$A$5:$A$424,A383)&gt;1,"YES","No")</f>
        <v>YES</v>
      </c>
      <c r="N383" s="7" t="str">
        <f aca="false">IF(OR(C383="UNMAPPED",D383="UNMAPPED",F383="No",H383="No",J383="No",K383="No",L383="UNMAPPED",M383="YES"),"NEEDS REVIEW","OK")</f>
        <v>NEEDS REVIEW</v>
      </c>
    </row>
    <row r="384" customFormat="false" ht="15" hidden="false" customHeight="false" outlineLevel="0" collapsed="false">
      <c r="A384" s="7" t="str">
        <f aca="false">'Raw_Data (Before)'!A384</f>
        <v>EMP0386</v>
      </c>
      <c r="B384" s="7" t="str">
        <f aca="false">PROPER(TRIM('Raw_Data (Before)'!B384))</f>
        <v>Comfort Obi</v>
      </c>
      <c r="C384" s="7" t="str">
        <f aca="false">IFERROR(INDEX(Lookup_Tables!$B$5:$B$24,MATCH(UPPER(TRIM('Raw_Data (Before)'!C384)),Lookup_Tables!$A$5:$A$24,0)),"UNMAPPED")</f>
        <v>Sales</v>
      </c>
      <c r="D384" s="7" t="str">
        <f aca="false">IFERROR(INDEX(Lookup_Tables!$E$5:$E$8,MATCH(UPPER(TRIM('Raw_Data (Before)'!D384)),Lookup_Tables!$D$5:$D$8,0)),"UNMAPPED")</f>
        <v>Male</v>
      </c>
      <c r="E384" s="7" t="n">
        <f aca="false">'Raw_Data (Before)'!E384</f>
        <v>37</v>
      </c>
      <c r="F384" s="7" t="str">
        <f aca="false">IF(E384="","No",IF(OR(E384&lt;16,E384&gt;75),"No","Yes"))</f>
        <v>Yes</v>
      </c>
      <c r="G384" s="7" t="n">
        <f aca="false">IFERROR(VALUE(SUBSTITUTE(SUBSTITUTE('Raw_Data (Before)'!F384,"₦",""),",","")),"")</f>
        <v>83166400</v>
      </c>
      <c r="H384" s="7" t="str">
        <f aca="false">IF(G384="","No",IF(OR(G384&lt;=0,G384&gt;5000000),"No","Yes"))</f>
        <v>No</v>
      </c>
      <c r="I384" s="8" t="str">
        <f aca="false">IFERROR(DATEVALUE('Raw_Data (Before)'!G384),"")</f>
        <v/>
      </c>
      <c r="J384" s="7" t="str">
        <f aca="false">IF(I384="","No","Yes")</f>
        <v>No</v>
      </c>
      <c r="K384" s="7" t="str">
        <f aca="false">IF(OR(ISERROR(FIND("@",'Raw_Data (Before)'!H384)),ISNUMBER(FIND("@@",'Raw_Data (Before)'!H384)),ISNUMBER(FIND(" ",'Raw_Data (Before)'!H384)),ISERROR(FIND(".",'Raw_Data (Before)'!H384,FIND("@",'Raw_Data (Before)'!H384)))),"No","Yes")</f>
        <v>Yes</v>
      </c>
      <c r="L384" s="7" t="str">
        <f aca="false">IFERROR(INDEX(Lookup_Tables!$H$5:$H$9,MATCH(UPPER(TRIM('Raw_Data (Before)'!I384)),Lookup_Tables!$G$5:$G$9,0)),"UNMAPPED")</f>
        <v>Active</v>
      </c>
      <c r="M384" s="7" t="str">
        <f aca="false">IF(COUNTIF('Raw_Data (Before)'!$A$5:$A$424,A384)&gt;1,"YES","No")</f>
        <v>No</v>
      </c>
      <c r="N384" s="7" t="str">
        <f aca="false">IF(OR(C384="UNMAPPED",D384="UNMAPPED",F384="No",H384="No",J384="No",K384="No",L384="UNMAPPED",M384="YES"),"NEEDS REVIEW","OK")</f>
        <v>NEEDS REVIEW</v>
      </c>
    </row>
    <row r="385" customFormat="false" ht="15" hidden="false" customHeight="false" outlineLevel="0" collapsed="false">
      <c r="A385" s="7" t="str">
        <f aca="false">'Raw_Data (Before)'!A385</f>
        <v>EMP0057</v>
      </c>
      <c r="B385" s="7" t="str">
        <f aca="false">PROPER(TRIM('Raw_Data (Before)'!B385))</f>
        <v>Tunde Adamu</v>
      </c>
      <c r="C385" s="7" t="str">
        <f aca="false">IFERROR(INDEX(Lookup_Tables!$B$5:$B$24,MATCH(UPPER(TRIM('Raw_Data (Before)'!C385)),Lookup_Tables!$A$5:$A$24,0)),"UNMAPPED")</f>
        <v>Customer Service</v>
      </c>
      <c r="D385" s="7" t="str">
        <f aca="false">IFERROR(INDEX(Lookup_Tables!$E$5:$E$8,MATCH(UPPER(TRIM('Raw_Data (Before)'!D385)),Lookup_Tables!$D$5:$D$8,0)),"UNMAPPED")</f>
        <v>Female</v>
      </c>
      <c r="E385" s="7" t="n">
        <f aca="false">'Raw_Data (Before)'!E385</f>
        <v>0</v>
      </c>
      <c r="F385" s="7" t="str">
        <f aca="false">IF(E385="","No",IF(OR(E385&lt;16,E385&gt;75),"No","Yes"))</f>
        <v>No</v>
      </c>
      <c r="G385" s="7" t="n">
        <f aca="false">IFERROR(VALUE(SUBSTITUTE(SUBSTITUTE('Raw_Data (Before)'!F385,"₦",""),",","")),"")</f>
        <v>576463</v>
      </c>
      <c r="H385" s="7" t="str">
        <f aca="false">IF(G385="","No",IF(OR(G385&lt;=0,G385&gt;5000000),"No","Yes"))</f>
        <v>Yes</v>
      </c>
      <c r="I385" s="8" t="n">
        <f aca="false">IFERROR(DATEVALUE('Raw_Data (Before)'!G385),"")</f>
        <v>44753</v>
      </c>
      <c r="J385" s="7" t="str">
        <f aca="false">IF(I385="","No","Yes")</f>
        <v>Yes</v>
      </c>
      <c r="K385" s="7" t="str">
        <f aca="false">IF(OR(ISERROR(FIND("@",'Raw_Data (Before)'!H385)),ISNUMBER(FIND("@@",'Raw_Data (Before)'!H385)),ISNUMBER(FIND(" ",'Raw_Data (Before)'!H385)),ISERROR(FIND(".",'Raw_Data (Before)'!H385,FIND("@",'Raw_Data (Before)'!H385)))),"No","Yes")</f>
        <v>Yes</v>
      </c>
      <c r="L385" s="7" t="str">
        <f aca="false">IFERROR(INDEX(Lookup_Tables!$H$5:$H$9,MATCH(UPPER(TRIM('Raw_Data (Before)'!I385)),Lookup_Tables!$G$5:$G$9,0)),"UNMAPPED")</f>
        <v>Active</v>
      </c>
      <c r="M385" s="7" t="str">
        <f aca="false">IF(COUNTIF('Raw_Data (Before)'!$A$5:$A$424,A385)&gt;1,"YES","No")</f>
        <v>No</v>
      </c>
      <c r="N385" s="7" t="str">
        <f aca="false">IF(OR(C385="UNMAPPED",D385="UNMAPPED",F385="No",H385="No",J385="No",K385="No",L385="UNMAPPED",M385="YES"),"NEEDS REVIEW","OK")</f>
        <v>NEEDS REVIEW</v>
      </c>
    </row>
    <row r="386" customFormat="false" ht="15" hidden="false" customHeight="false" outlineLevel="0" collapsed="false">
      <c r="A386" s="7" t="str">
        <f aca="false">'Raw_Data (Before)'!A386</f>
        <v>EMP0316</v>
      </c>
      <c r="B386" s="7" t="str">
        <f aca="false">PROPER(TRIM('Raw_Data (Before)'!B386))</f>
        <v>Ifeoma Okonkwo</v>
      </c>
      <c r="C386" s="7" t="str">
        <f aca="false">IFERROR(INDEX(Lookup_Tables!$B$5:$B$24,MATCH(UPPER(TRIM('Raw_Data (Before)'!C386)),Lookup_Tables!$A$5:$A$24,0)),"UNMAPPED")</f>
        <v>Operations</v>
      </c>
      <c r="D386" s="7" t="str">
        <f aca="false">IFERROR(INDEX(Lookup_Tables!$E$5:$E$8,MATCH(UPPER(TRIM('Raw_Data (Before)'!D386)),Lookup_Tables!$D$5:$D$8,0)),"UNMAPPED")</f>
        <v>Female</v>
      </c>
      <c r="E386" s="7" t="n">
        <f aca="false">'Raw_Data (Before)'!E386</f>
        <v>29</v>
      </c>
      <c r="F386" s="7" t="str">
        <f aca="false">IF(E386="","No",IF(OR(E386&lt;16,E386&gt;75),"No","Yes"))</f>
        <v>Yes</v>
      </c>
      <c r="G386" s="7" t="n">
        <f aca="false">IFERROR(VALUE(SUBSTITUTE(SUBSTITUTE('Raw_Data (Before)'!F386,"₦",""),",","")),"")</f>
        <v>863550</v>
      </c>
      <c r="H386" s="7" t="str">
        <f aca="false">IF(G386="","No",IF(OR(G386&lt;=0,G386&gt;5000000),"No","Yes"))</f>
        <v>Yes</v>
      </c>
      <c r="I386" s="8" t="n">
        <f aca="false">IFERROR(DATEVALUE('Raw_Data (Before)'!G386),"")</f>
        <v>45323</v>
      </c>
      <c r="J386" s="7" t="str">
        <f aca="false">IF(I386="","No","Yes")</f>
        <v>Yes</v>
      </c>
      <c r="K386" s="7" t="str">
        <f aca="false">IF(OR(ISERROR(FIND("@",'Raw_Data (Before)'!H386)),ISNUMBER(FIND("@@",'Raw_Data (Before)'!H386)),ISNUMBER(FIND(" ",'Raw_Data (Before)'!H386)),ISERROR(FIND(".",'Raw_Data (Before)'!H386,FIND("@",'Raw_Data (Before)'!H386)))),"No","Yes")</f>
        <v>Yes</v>
      </c>
      <c r="L386" s="7" t="str">
        <f aca="false">IFERROR(INDEX(Lookup_Tables!$H$5:$H$9,MATCH(UPPER(TRIM('Raw_Data (Before)'!I386)),Lookup_Tables!$G$5:$G$9,0)),"UNMAPPED")</f>
        <v>Inactive</v>
      </c>
      <c r="M386" s="7" t="str">
        <f aca="false">IF(COUNTIF('Raw_Data (Before)'!$A$5:$A$424,A386)&gt;1,"YES","No")</f>
        <v>No</v>
      </c>
      <c r="N386" s="7" t="str">
        <f aca="false">IF(OR(C386="UNMAPPED",D386="UNMAPPED",F386="No",H386="No",J386="No",K386="No",L386="UNMAPPED",M386="YES"),"NEEDS REVIEW","OK")</f>
        <v>OK</v>
      </c>
    </row>
    <row r="387" customFormat="false" ht="15" hidden="false" customHeight="false" outlineLevel="0" collapsed="false">
      <c r="A387" s="7" t="str">
        <f aca="false">'Raw_Data (Before)'!A387</f>
        <v>EMP0188</v>
      </c>
      <c r="B387" s="7" t="str">
        <f aca="false">PROPER(TRIM('Raw_Data (Before)'!B387))</f>
        <v>Victor Okafor</v>
      </c>
      <c r="C387" s="7" t="str">
        <f aca="false">IFERROR(INDEX(Lookup_Tables!$B$5:$B$24,MATCH(UPPER(TRIM('Raw_Data (Before)'!C387)),Lookup_Tables!$A$5:$A$24,0)),"UNMAPPED")</f>
        <v>Sales</v>
      </c>
      <c r="D387" s="7" t="str">
        <f aca="false">IFERROR(INDEX(Lookup_Tables!$E$5:$E$8,MATCH(UPPER(TRIM('Raw_Data (Before)'!D387)),Lookup_Tables!$D$5:$D$8,0)),"UNMAPPED")</f>
        <v>Female</v>
      </c>
      <c r="E387" s="7" t="n">
        <f aca="false">'Raw_Data (Before)'!E387</f>
        <v>53</v>
      </c>
      <c r="F387" s="7" t="str">
        <f aca="false">IF(E387="","No",IF(OR(E387&lt;16,E387&gt;75),"No","Yes"))</f>
        <v>Yes</v>
      </c>
      <c r="G387" s="7" t="n">
        <f aca="false">IFERROR(VALUE(SUBSTITUTE(SUBSTITUTE('Raw_Data (Before)'!F387,"₦",""),",","")),"")</f>
        <v>526110</v>
      </c>
      <c r="H387" s="7" t="str">
        <f aca="false">IF(G387="","No",IF(OR(G387&lt;=0,G387&gt;5000000),"No","Yes"))</f>
        <v>Yes</v>
      </c>
      <c r="I387" s="8" t="n">
        <f aca="false">IFERROR(DATEVALUE('Raw_Data (Before)'!G387),"")</f>
        <v>43435</v>
      </c>
      <c r="J387" s="7" t="str">
        <f aca="false">IF(I387="","No","Yes")</f>
        <v>Yes</v>
      </c>
      <c r="K387" s="7" t="str">
        <f aca="false">IF(OR(ISERROR(FIND("@",'Raw_Data (Before)'!H387)),ISNUMBER(FIND("@@",'Raw_Data (Before)'!H387)),ISNUMBER(FIND(" ",'Raw_Data (Before)'!H387)),ISERROR(FIND(".",'Raw_Data (Before)'!H387,FIND("@",'Raw_Data (Before)'!H387)))),"No","Yes")</f>
        <v>No</v>
      </c>
      <c r="L387" s="7" t="str">
        <f aca="false">IFERROR(INDEX(Lookup_Tables!$H$5:$H$9,MATCH(UPPER(TRIM('Raw_Data (Before)'!I387)),Lookup_Tables!$G$5:$G$9,0)),"UNMAPPED")</f>
        <v>Active</v>
      </c>
      <c r="M387" s="7" t="str">
        <f aca="false">IF(COUNTIF('Raw_Data (Before)'!$A$5:$A$424,A387)&gt;1,"YES","No")</f>
        <v>YES</v>
      </c>
      <c r="N387" s="7" t="str">
        <f aca="false">IF(OR(C387="UNMAPPED",D387="UNMAPPED",F387="No",H387="No",J387="No",K387="No",L387="UNMAPPED",M387="YES"),"NEEDS REVIEW","OK")</f>
        <v>NEEDS REVIEW</v>
      </c>
    </row>
    <row r="388" customFormat="false" ht="15" hidden="false" customHeight="false" outlineLevel="0" collapsed="false">
      <c r="A388" s="7" t="str">
        <f aca="false">'Raw_Data (Before)'!A388</f>
        <v>EMP0248</v>
      </c>
      <c r="B388" s="7" t="str">
        <f aca="false">PROPER(TRIM('Raw_Data (Before)'!B388))</f>
        <v>Kemi Bello</v>
      </c>
      <c r="C388" s="7" t="str">
        <f aca="false">IFERROR(INDEX(Lookup_Tables!$B$5:$B$24,MATCH(UPPER(TRIM('Raw_Data (Before)'!C388)),Lookup_Tables!$A$5:$A$24,0)),"UNMAPPED")</f>
        <v>Operations</v>
      </c>
      <c r="D388" s="7" t="str">
        <f aca="false">IFERROR(INDEX(Lookup_Tables!$E$5:$E$8,MATCH(UPPER(TRIM('Raw_Data (Before)'!D388)),Lookup_Tables!$D$5:$D$8,0)),"UNMAPPED")</f>
        <v>Male</v>
      </c>
      <c r="E388" s="7" t="n">
        <f aca="false">'Raw_Data (Before)'!E388</f>
        <v>41</v>
      </c>
      <c r="F388" s="7" t="str">
        <f aca="false">IF(E388="","No",IF(OR(E388&lt;16,E388&gt;75),"No","Yes"))</f>
        <v>Yes</v>
      </c>
      <c r="G388" s="7" t="n">
        <f aca="false">IFERROR(VALUE(SUBSTITUTE(SUBSTITUTE('Raw_Data (Before)'!F388,"₦",""),",","")),"")</f>
        <v>570538</v>
      </c>
      <c r="H388" s="7" t="str">
        <f aca="false">IF(G388="","No",IF(OR(G388&lt;=0,G388&gt;5000000),"No","Yes"))</f>
        <v>Yes</v>
      </c>
      <c r="I388" s="8" t="n">
        <f aca="false">IFERROR(DATEVALUE('Raw_Data (Before)'!G388),"")</f>
        <v>44208</v>
      </c>
      <c r="J388" s="7" t="str">
        <f aca="false">IF(I388="","No","Yes")</f>
        <v>Yes</v>
      </c>
      <c r="K388" s="7" t="str">
        <f aca="false">IF(OR(ISERROR(FIND("@",'Raw_Data (Before)'!H388)),ISNUMBER(FIND("@@",'Raw_Data (Before)'!H388)),ISNUMBER(FIND(" ",'Raw_Data (Before)'!H388)),ISERROR(FIND(".",'Raw_Data (Before)'!H388,FIND("@",'Raw_Data (Before)'!H388)))),"No","Yes")</f>
        <v>Yes</v>
      </c>
      <c r="L388" s="7" t="str">
        <f aca="false">IFERROR(INDEX(Lookup_Tables!$H$5:$H$9,MATCH(UPPER(TRIM('Raw_Data (Before)'!I388)),Lookup_Tables!$G$5:$G$9,0)),"UNMAPPED")</f>
        <v>Active</v>
      </c>
      <c r="M388" s="7" t="str">
        <f aca="false">IF(COUNTIF('Raw_Data (Before)'!$A$5:$A$424,A388)&gt;1,"YES","No")</f>
        <v>No</v>
      </c>
      <c r="N388" s="7" t="str">
        <f aca="false">IF(OR(C388="UNMAPPED",D388="UNMAPPED",F388="No",H388="No",J388="No",K388="No",L388="UNMAPPED",M388="YES"),"NEEDS REVIEW","OK")</f>
        <v>OK</v>
      </c>
    </row>
    <row r="389" customFormat="false" ht="15" hidden="false" customHeight="false" outlineLevel="0" collapsed="false">
      <c r="A389" s="7" t="str">
        <f aca="false">'Raw_Data (Before)'!A389</f>
        <v>EMP0367</v>
      </c>
      <c r="B389" s="7" t="str">
        <f aca="false">PROPER(TRIM('Raw_Data (Before)'!B389))</f>
        <v>Ifeoma Nnamdi</v>
      </c>
      <c r="C389" s="7" t="str">
        <f aca="false">IFERROR(INDEX(Lookup_Tables!$B$5:$B$24,MATCH(UPPER(TRIM('Raw_Data (Before)'!C389)),Lookup_Tables!$A$5:$A$24,0)),"UNMAPPED")</f>
        <v>Operations</v>
      </c>
      <c r="D389" s="7" t="str">
        <f aca="false">IFERROR(INDEX(Lookup_Tables!$E$5:$E$8,MATCH(UPPER(TRIM('Raw_Data (Before)'!D389)),Lookup_Tables!$D$5:$D$8,0)),"UNMAPPED")</f>
        <v>Male</v>
      </c>
      <c r="E389" s="7" t="n">
        <f aca="false">'Raw_Data (Before)'!E389</f>
        <v>24</v>
      </c>
      <c r="F389" s="7" t="str">
        <f aca="false">IF(E389="","No",IF(OR(E389&lt;16,E389&gt;75),"No","Yes"))</f>
        <v>Yes</v>
      </c>
      <c r="G389" s="7" t="n">
        <f aca="false">IFERROR(VALUE(SUBSTITUTE(SUBSTITUTE('Raw_Data (Before)'!F389,"₦",""),",","")),"")</f>
        <v>311898</v>
      </c>
      <c r="H389" s="7" t="str">
        <f aca="false">IF(G389="","No",IF(OR(G389&lt;=0,G389&gt;5000000),"No","Yes"))</f>
        <v>Yes</v>
      </c>
      <c r="I389" s="8" t="str">
        <f aca="false">IFERROR(DATEVALUE('Raw_Data (Before)'!G389),"")</f>
        <v/>
      </c>
      <c r="J389" s="7" t="str">
        <f aca="false">IF(I389="","No","Yes")</f>
        <v>No</v>
      </c>
      <c r="K389" s="7" t="str">
        <f aca="false">IF(OR(ISERROR(FIND("@",'Raw_Data (Before)'!H389)),ISNUMBER(FIND("@@",'Raw_Data (Before)'!H389)),ISNUMBER(FIND(" ",'Raw_Data (Before)'!H389)),ISERROR(FIND(".",'Raw_Data (Before)'!H389,FIND("@",'Raw_Data (Before)'!H389)))),"No","Yes")</f>
        <v>Yes</v>
      </c>
      <c r="L389" s="7" t="str">
        <f aca="false">IFERROR(INDEX(Lookup_Tables!$H$5:$H$9,MATCH(UPPER(TRIM('Raw_Data (Before)'!I389)),Lookup_Tables!$G$5:$G$9,0)),"UNMAPPED")</f>
        <v>Inactive</v>
      </c>
      <c r="M389" s="7" t="str">
        <f aca="false">IF(COUNTIF('Raw_Data (Before)'!$A$5:$A$424,A389)&gt;1,"YES","No")</f>
        <v>YES</v>
      </c>
      <c r="N389" s="7" t="str">
        <f aca="false">IF(OR(C389="UNMAPPED",D389="UNMAPPED",F389="No",H389="No",J389="No",K389="No",L389="UNMAPPED",M389="YES"),"NEEDS REVIEW","OK")</f>
        <v>NEEDS REVIEW</v>
      </c>
    </row>
    <row r="390" customFormat="false" ht="15" hidden="false" customHeight="false" outlineLevel="0" collapsed="false">
      <c r="A390" s="7" t="str">
        <f aca="false">'Raw_Data (Before)'!A390</f>
        <v>EMP0069</v>
      </c>
      <c r="B390" s="7" t="str">
        <f aca="false">PROPER(TRIM('Raw_Data (Before)'!B390))</f>
        <v>Aisha Duru</v>
      </c>
      <c r="C390" s="7" t="str">
        <f aca="false">IFERROR(INDEX(Lookup_Tables!$B$5:$B$24,MATCH(UPPER(TRIM('Raw_Data (Before)'!C390)),Lookup_Tables!$A$5:$A$24,0)),"UNMAPPED")</f>
        <v>Customer Service</v>
      </c>
      <c r="D390" s="7" t="str">
        <f aca="false">IFERROR(INDEX(Lookup_Tables!$E$5:$E$8,MATCH(UPPER(TRIM('Raw_Data (Before)'!D390)),Lookup_Tables!$D$5:$D$8,0)),"UNMAPPED")</f>
        <v>Male</v>
      </c>
      <c r="E390" s="7" t="n">
        <f aca="false">'Raw_Data (Before)'!E390</f>
        <v>48</v>
      </c>
      <c r="F390" s="7" t="str">
        <f aca="false">IF(E390="","No",IF(OR(E390&lt;16,E390&gt;75),"No","Yes"))</f>
        <v>Yes</v>
      </c>
      <c r="G390" s="7" t="n">
        <f aca="false">IFERROR(VALUE(SUBSTITUTE(SUBSTITUTE('Raw_Data (Before)'!F390,"₦",""),",","")),"")</f>
        <v>199054</v>
      </c>
      <c r="H390" s="7" t="str">
        <f aca="false">IF(G390="","No",IF(OR(G390&lt;=0,G390&gt;5000000),"No","Yes"))</f>
        <v>Yes</v>
      </c>
      <c r="I390" s="8" t="n">
        <f aca="false">IFERROR(DATEVALUE('Raw_Data (Before)'!G390),"")</f>
        <v>43125</v>
      </c>
      <c r="J390" s="7" t="str">
        <f aca="false">IF(I390="","No","Yes")</f>
        <v>Yes</v>
      </c>
      <c r="K390" s="7" t="str">
        <f aca="false">IF(OR(ISERROR(FIND("@",'Raw_Data (Before)'!H390)),ISNUMBER(FIND("@@",'Raw_Data (Before)'!H390)),ISNUMBER(FIND(" ",'Raw_Data (Before)'!H390)),ISERROR(FIND(".",'Raw_Data (Before)'!H390,FIND("@",'Raw_Data (Before)'!H390)))),"No","Yes")</f>
        <v>Yes</v>
      </c>
      <c r="L390" s="7" t="str">
        <f aca="false">IFERROR(INDEX(Lookup_Tables!$H$5:$H$9,MATCH(UPPER(TRIM('Raw_Data (Before)'!I390)),Lookup_Tables!$G$5:$G$9,0)),"UNMAPPED")</f>
        <v>Active</v>
      </c>
      <c r="M390" s="7" t="str">
        <f aca="false">IF(COUNTIF('Raw_Data (Before)'!$A$5:$A$424,A390)&gt;1,"YES","No")</f>
        <v>No</v>
      </c>
      <c r="N390" s="7" t="str">
        <f aca="false">IF(OR(C390="UNMAPPED",D390="UNMAPPED",F390="No",H390="No",J390="No",K390="No",L390="UNMAPPED",M390="YES"),"NEEDS REVIEW","OK")</f>
        <v>OK</v>
      </c>
    </row>
    <row r="391" customFormat="false" ht="15" hidden="false" customHeight="false" outlineLevel="0" collapsed="false">
      <c r="A391" s="7" t="str">
        <f aca="false">'Raw_Data (Before)'!A391</f>
        <v>EMP0274</v>
      </c>
      <c r="B391" s="7" t="str">
        <f aca="false">PROPER(TRIM('Raw_Data (Before)'!B391))</f>
        <v>Daniel Bello</v>
      </c>
      <c r="C391" s="7" t="str">
        <f aca="false">IFERROR(INDEX(Lookup_Tables!$B$5:$B$24,MATCH(UPPER(TRIM('Raw_Data (Before)'!C391)),Lookup_Tables!$A$5:$A$24,0)),"UNMAPPED")</f>
        <v>HR</v>
      </c>
      <c r="D391" s="7" t="str">
        <f aca="false">IFERROR(INDEX(Lookup_Tables!$E$5:$E$8,MATCH(UPPER(TRIM('Raw_Data (Before)'!D391)),Lookup_Tables!$D$5:$D$8,0)),"UNMAPPED")</f>
        <v>Male</v>
      </c>
      <c r="E391" s="7" t="n">
        <f aca="false">'Raw_Data (Before)'!E391</f>
        <v>28</v>
      </c>
      <c r="F391" s="7" t="str">
        <f aca="false">IF(E391="","No",IF(OR(E391&lt;16,E391&gt;75),"No","Yes"))</f>
        <v>Yes</v>
      </c>
      <c r="G391" s="7" t="n">
        <f aca="false">IFERROR(VALUE(SUBSTITUTE(SUBSTITUTE('Raw_Data (Before)'!F391,"₦",""),",","")),"")</f>
        <v>587223</v>
      </c>
      <c r="H391" s="7" t="str">
        <f aca="false">IF(G391="","No",IF(OR(G391&lt;=0,G391&gt;5000000),"No","Yes"))</f>
        <v>Yes</v>
      </c>
      <c r="I391" s="8" t="n">
        <f aca="false">IFERROR(DATEVALUE('Raw_Data (Before)'!G391),"")</f>
        <v>43263</v>
      </c>
      <c r="J391" s="7" t="str">
        <f aca="false">IF(I391="","No","Yes")</f>
        <v>Yes</v>
      </c>
      <c r="K391" s="7" t="str">
        <f aca="false">IF(OR(ISERROR(FIND("@",'Raw_Data (Before)'!H391)),ISNUMBER(FIND("@@",'Raw_Data (Before)'!H391)),ISNUMBER(FIND(" ",'Raw_Data (Before)'!H391)),ISERROR(FIND(".",'Raw_Data (Before)'!H391,FIND("@",'Raw_Data (Before)'!H391)))),"No","Yes")</f>
        <v>Yes</v>
      </c>
      <c r="L391" s="7" t="str">
        <f aca="false">IFERROR(INDEX(Lookup_Tables!$H$5:$H$9,MATCH(UPPER(TRIM('Raw_Data (Before)'!I391)),Lookup_Tables!$G$5:$G$9,0)),"UNMAPPED")</f>
        <v>Active</v>
      </c>
      <c r="M391" s="7" t="str">
        <f aca="false">IF(COUNTIF('Raw_Data (Before)'!$A$5:$A$424,A391)&gt;1,"YES","No")</f>
        <v>No</v>
      </c>
      <c r="N391" s="7" t="str">
        <f aca="false">IF(OR(C391="UNMAPPED",D391="UNMAPPED",F391="No",H391="No",J391="No",K391="No",L391="UNMAPPED",M391="YES"),"NEEDS REVIEW","OK")</f>
        <v>OK</v>
      </c>
    </row>
    <row r="392" customFormat="false" ht="15" hidden="false" customHeight="false" outlineLevel="0" collapsed="false">
      <c r="A392" s="7" t="str">
        <f aca="false">'Raw_Data (Before)'!A392</f>
        <v>EMP0282</v>
      </c>
      <c r="B392" s="7" t="str">
        <f aca="false">PROPER(TRIM('Raw_Data (Before)'!B392))</f>
        <v>Ibrahim Bello</v>
      </c>
      <c r="C392" s="7" t="str">
        <f aca="false">IFERROR(INDEX(Lookup_Tables!$B$5:$B$24,MATCH(UPPER(TRIM('Raw_Data (Before)'!C392)),Lookup_Tables!$A$5:$A$24,0)),"UNMAPPED")</f>
        <v>Finance</v>
      </c>
      <c r="D392" s="7" t="str">
        <f aca="false">IFERROR(INDEX(Lookup_Tables!$E$5:$E$8,MATCH(UPPER(TRIM('Raw_Data (Before)'!D392)),Lookup_Tables!$D$5:$D$8,0)),"UNMAPPED")</f>
        <v>Male</v>
      </c>
      <c r="E392" s="7" t="n">
        <f aca="false">'Raw_Data (Before)'!E392</f>
        <v>26</v>
      </c>
      <c r="F392" s="7" t="str">
        <f aca="false">IF(E392="","No",IF(OR(E392&lt;16,E392&gt;75),"No","Yes"))</f>
        <v>Yes</v>
      </c>
      <c r="G392" s="7" t="n">
        <f aca="false">IFERROR(VALUE(SUBSTITUTE(SUBSTITUTE('Raw_Data (Before)'!F392,"₦",""),",","")),"")</f>
        <v>566237</v>
      </c>
      <c r="H392" s="7" t="str">
        <f aca="false">IF(G392="","No",IF(OR(G392&lt;=0,G392&gt;5000000),"No","Yes"))</f>
        <v>Yes</v>
      </c>
      <c r="I392" s="8" t="str">
        <f aca="false">IFERROR(DATEVALUE('Raw_Data (Before)'!G392),"")</f>
        <v/>
      </c>
      <c r="J392" s="7" t="str">
        <f aca="false">IF(I392="","No","Yes")</f>
        <v>No</v>
      </c>
      <c r="K392" s="7" t="str">
        <f aca="false">IF(OR(ISERROR(FIND("@",'Raw_Data (Before)'!H392)),ISNUMBER(FIND("@@",'Raw_Data (Before)'!H392)),ISNUMBER(FIND(" ",'Raw_Data (Before)'!H392)),ISERROR(FIND(".",'Raw_Data (Before)'!H392,FIND("@",'Raw_Data (Before)'!H392)))),"No","Yes")</f>
        <v>Yes</v>
      </c>
      <c r="L392" s="7" t="str">
        <f aca="false">IFERROR(INDEX(Lookup_Tables!$H$5:$H$9,MATCH(UPPER(TRIM('Raw_Data (Before)'!I392)),Lookup_Tables!$G$5:$G$9,0)),"UNMAPPED")</f>
        <v>Active</v>
      </c>
      <c r="M392" s="7" t="str">
        <f aca="false">IF(COUNTIF('Raw_Data (Before)'!$A$5:$A$424,A392)&gt;1,"YES","No")</f>
        <v>No</v>
      </c>
      <c r="N392" s="7" t="str">
        <f aca="false">IF(OR(C392="UNMAPPED",D392="UNMAPPED",F392="No",H392="No",J392="No",K392="No",L392="UNMAPPED",M392="YES"),"NEEDS REVIEW","OK")</f>
        <v>NEEDS REVIEW</v>
      </c>
    </row>
    <row r="393" customFormat="false" ht="15" hidden="false" customHeight="false" outlineLevel="0" collapsed="false">
      <c r="A393" s="7" t="str">
        <f aca="false">'Raw_Data (Before)'!A393</f>
        <v>EMP0149</v>
      </c>
      <c r="B393" s="7" t="str">
        <f aca="false">PROPER(TRIM('Raw_Data (Before)'!B393))</f>
        <v>Hauwa Duru</v>
      </c>
      <c r="C393" s="7" t="str">
        <f aca="false">IFERROR(INDEX(Lookup_Tables!$B$5:$B$24,MATCH(UPPER(TRIM('Raw_Data (Before)'!C393)),Lookup_Tables!$A$5:$A$24,0)),"UNMAPPED")</f>
        <v>Finance</v>
      </c>
      <c r="D393" s="7" t="str">
        <f aca="false">IFERROR(INDEX(Lookup_Tables!$E$5:$E$8,MATCH(UPPER(TRIM('Raw_Data (Before)'!D393)),Lookup_Tables!$D$5:$D$8,0)),"UNMAPPED")</f>
        <v>Female</v>
      </c>
      <c r="E393" s="7" t="n">
        <f aca="false">'Raw_Data (Before)'!E393</f>
        <v>23</v>
      </c>
      <c r="F393" s="7" t="str">
        <f aca="false">IF(E393="","No",IF(OR(E393&lt;16,E393&gt;75),"No","Yes"))</f>
        <v>Yes</v>
      </c>
      <c r="G393" s="7" t="n">
        <f aca="false">IFERROR(VALUE(SUBSTITUTE(SUBSTITUTE('Raw_Data (Before)'!F393,"₦",""),",","")),"")</f>
        <v>116043</v>
      </c>
      <c r="H393" s="7" t="str">
        <f aca="false">IF(G393="","No",IF(OR(G393&lt;=0,G393&gt;5000000),"No","Yes"))</f>
        <v>Yes</v>
      </c>
      <c r="I393" s="8" t="n">
        <f aca="false">IFERROR(DATEVALUE('Raw_Data (Before)'!G393),"")</f>
        <v>45810</v>
      </c>
      <c r="J393" s="7" t="str">
        <f aca="false">IF(I393="","No","Yes")</f>
        <v>Yes</v>
      </c>
      <c r="K393" s="7" t="str">
        <f aca="false">IF(OR(ISERROR(FIND("@",'Raw_Data (Before)'!H393)),ISNUMBER(FIND("@@",'Raw_Data (Before)'!H393)),ISNUMBER(FIND(" ",'Raw_Data (Before)'!H393)),ISERROR(FIND(".",'Raw_Data (Before)'!H393,FIND("@",'Raw_Data (Before)'!H393)))),"No","Yes")</f>
        <v>Yes</v>
      </c>
      <c r="L393" s="7" t="str">
        <f aca="false">IFERROR(INDEX(Lookup_Tables!$H$5:$H$9,MATCH(UPPER(TRIM('Raw_Data (Before)'!I393)),Lookup_Tables!$G$5:$G$9,0)),"UNMAPPED")</f>
        <v>Active</v>
      </c>
      <c r="M393" s="7" t="str">
        <f aca="false">IF(COUNTIF('Raw_Data (Before)'!$A$5:$A$424,A393)&gt;1,"YES","No")</f>
        <v>YES</v>
      </c>
      <c r="N393" s="7" t="str">
        <f aca="false">IF(OR(C393="UNMAPPED",D393="UNMAPPED",F393="No",H393="No",J393="No",K393="No",L393="UNMAPPED",M393="YES"),"NEEDS REVIEW","OK")</f>
        <v>NEEDS REVIEW</v>
      </c>
    </row>
    <row r="394" customFormat="false" ht="15" hidden="false" customHeight="false" outlineLevel="0" collapsed="false">
      <c r="A394" s="7" t="str">
        <f aca="false">'Raw_Data (Before)'!A394</f>
        <v>EMP0161</v>
      </c>
      <c r="B394" s="7" t="str">
        <f aca="false">PROPER(TRIM('Raw_Data (Before)'!B394))</f>
        <v>Peter Nwosu</v>
      </c>
      <c r="C394" s="7" t="str">
        <f aca="false">IFERROR(INDEX(Lookup_Tables!$B$5:$B$24,MATCH(UPPER(TRIM('Raw_Data (Before)'!C394)),Lookup_Tables!$A$5:$A$24,0)),"UNMAPPED")</f>
        <v>HR</v>
      </c>
      <c r="D394" s="7" t="str">
        <f aca="false">IFERROR(INDEX(Lookup_Tables!$E$5:$E$8,MATCH(UPPER(TRIM('Raw_Data (Before)'!D394)),Lookup_Tables!$D$5:$D$8,0)),"UNMAPPED")</f>
        <v>Female</v>
      </c>
      <c r="E394" s="7" t="n">
        <f aca="false">'Raw_Data (Before)'!E394</f>
        <v>31</v>
      </c>
      <c r="F394" s="7" t="str">
        <f aca="false">IF(E394="","No",IF(OR(E394&lt;16,E394&gt;75),"No","Yes"))</f>
        <v>Yes</v>
      </c>
      <c r="G394" s="7" t="n">
        <f aca="false">IFERROR(VALUE(SUBSTITUTE(SUBSTITUTE('Raw_Data (Before)'!F394,"₦",""),",","")),"")</f>
        <v>460336</v>
      </c>
      <c r="H394" s="7" t="str">
        <f aca="false">IF(G394="","No",IF(OR(G394&lt;=0,G394&gt;5000000),"No","Yes"))</f>
        <v>Yes</v>
      </c>
      <c r="I394" s="8" t="n">
        <f aca="false">IFERROR(DATEVALUE('Raw_Data (Before)'!G394),"")</f>
        <v>45272</v>
      </c>
      <c r="J394" s="7" t="str">
        <f aca="false">IF(I394="","No","Yes")</f>
        <v>Yes</v>
      </c>
      <c r="K394" s="7" t="str">
        <f aca="false">IF(OR(ISERROR(FIND("@",'Raw_Data (Before)'!H394)),ISNUMBER(FIND("@@",'Raw_Data (Before)'!H394)),ISNUMBER(FIND(" ",'Raw_Data (Before)'!H394)),ISERROR(FIND(".",'Raw_Data (Before)'!H394,FIND("@",'Raw_Data (Before)'!H394)))),"No","Yes")</f>
        <v>Yes</v>
      </c>
      <c r="L394" s="7" t="str">
        <f aca="false">IFERROR(INDEX(Lookup_Tables!$H$5:$H$9,MATCH(UPPER(TRIM('Raw_Data (Before)'!I394)),Lookup_Tables!$G$5:$G$9,0)),"UNMAPPED")</f>
        <v>Active</v>
      </c>
      <c r="M394" s="7" t="str">
        <f aca="false">IF(COUNTIF('Raw_Data (Before)'!$A$5:$A$424,A394)&gt;1,"YES","No")</f>
        <v>No</v>
      </c>
      <c r="N394" s="7" t="str">
        <f aca="false">IF(OR(C394="UNMAPPED",D394="UNMAPPED",F394="No",H394="No",J394="No",K394="No",L394="UNMAPPED",M394="YES"),"NEEDS REVIEW","OK")</f>
        <v>OK</v>
      </c>
    </row>
    <row r="395" customFormat="false" ht="15" hidden="false" customHeight="false" outlineLevel="0" collapsed="false">
      <c r="A395" s="7" t="str">
        <f aca="false">'Raw_Data (Before)'!A395</f>
        <v>EMP0261</v>
      </c>
      <c r="B395" s="7" t="str">
        <f aca="false">PROPER(TRIM('Raw_Data (Before)'!B395))</f>
        <v>Hauwa Abubakar</v>
      </c>
      <c r="C395" s="7" t="str">
        <f aca="false">IFERROR(INDEX(Lookup_Tables!$B$5:$B$24,MATCH(UPPER(TRIM('Raw_Data (Before)'!C395)),Lookup_Tables!$A$5:$A$24,0)),"UNMAPPED")</f>
        <v>Finance</v>
      </c>
      <c r="D395" s="7" t="str">
        <f aca="false">IFERROR(INDEX(Lookup_Tables!$E$5:$E$8,MATCH(UPPER(TRIM('Raw_Data (Before)'!D395)),Lookup_Tables!$D$5:$D$8,0)),"UNMAPPED")</f>
        <v>Female</v>
      </c>
      <c r="E395" s="7" t="n">
        <f aca="false">'Raw_Data (Before)'!E395</f>
        <v>44</v>
      </c>
      <c r="F395" s="7" t="str">
        <f aca="false">IF(E395="","No",IF(OR(E395&lt;16,E395&gt;75),"No","Yes"))</f>
        <v>Yes</v>
      </c>
      <c r="G395" s="7" t="n">
        <f aca="false">IFERROR(VALUE(SUBSTITUTE(SUBSTITUTE('Raw_Data (Before)'!F395,"₦",""),",","")),"")</f>
        <v>400165</v>
      </c>
      <c r="H395" s="7" t="str">
        <f aca="false">IF(G395="","No",IF(OR(G395&lt;=0,G395&gt;5000000),"No","Yes"))</f>
        <v>Yes</v>
      </c>
      <c r="I395" s="8" t="n">
        <f aca="false">IFERROR(DATEVALUE('Raw_Data (Before)'!G395),"")</f>
        <v>44920</v>
      </c>
      <c r="J395" s="7" t="str">
        <f aca="false">IF(I395="","No","Yes")</f>
        <v>Yes</v>
      </c>
      <c r="K395" s="7" t="str">
        <f aca="false">IF(OR(ISERROR(FIND("@",'Raw_Data (Before)'!H395)),ISNUMBER(FIND("@@",'Raw_Data (Before)'!H395)),ISNUMBER(FIND(" ",'Raw_Data (Before)'!H395)),ISERROR(FIND(".",'Raw_Data (Before)'!H395,FIND("@",'Raw_Data (Before)'!H395)))),"No","Yes")</f>
        <v>Yes</v>
      </c>
      <c r="L395" s="7" t="str">
        <f aca="false">IFERROR(INDEX(Lookup_Tables!$H$5:$H$9,MATCH(UPPER(TRIM('Raw_Data (Before)'!I395)),Lookup_Tables!$G$5:$G$9,0)),"UNMAPPED")</f>
        <v>Active</v>
      </c>
      <c r="M395" s="7" t="str">
        <f aca="false">IF(COUNTIF('Raw_Data (Before)'!$A$5:$A$424,A395)&gt;1,"YES","No")</f>
        <v>No</v>
      </c>
      <c r="N395" s="7" t="str">
        <f aca="false">IF(OR(C395="UNMAPPED",D395="UNMAPPED",F395="No",H395="No",J395="No",K395="No",L395="UNMAPPED",M395="YES"),"NEEDS REVIEW","OK")</f>
        <v>OK</v>
      </c>
    </row>
    <row r="396" customFormat="false" ht="15" hidden="false" customHeight="false" outlineLevel="0" collapsed="false">
      <c r="A396" s="7" t="str">
        <f aca="false">'Raw_Data (Before)'!A396</f>
        <v>EMP0338</v>
      </c>
      <c r="B396" s="7" t="str">
        <f aca="false">PROPER(TRIM('Raw_Data (Before)'!B396))</f>
        <v>Chidi Chukwu</v>
      </c>
      <c r="C396" s="7" t="str">
        <f aca="false">IFERROR(INDEX(Lookup_Tables!$B$5:$B$24,MATCH(UPPER(TRIM('Raw_Data (Before)'!C396)),Lookup_Tables!$A$5:$A$24,0)),"UNMAPPED")</f>
        <v>Finance</v>
      </c>
      <c r="D396" s="7" t="str">
        <f aca="false">IFERROR(INDEX(Lookup_Tables!$E$5:$E$8,MATCH(UPPER(TRIM('Raw_Data (Before)'!D396)),Lookup_Tables!$D$5:$D$8,0)),"UNMAPPED")</f>
        <v>Male</v>
      </c>
      <c r="E396" s="7" t="n">
        <f aca="false">'Raw_Data (Before)'!E396</f>
        <v>60</v>
      </c>
      <c r="F396" s="7" t="str">
        <f aca="false">IF(E396="","No",IF(OR(E396&lt;16,E396&gt;75),"No","Yes"))</f>
        <v>Yes</v>
      </c>
      <c r="G396" s="7" t="n">
        <f aca="false">IFERROR(VALUE(SUBSTITUTE(SUBSTITUTE('Raw_Data (Before)'!F396,"₦",""),",","")),"")</f>
        <v>150948</v>
      </c>
      <c r="H396" s="7" t="str">
        <f aca="false">IF(G396="","No",IF(OR(G396&lt;=0,G396&gt;5000000),"No","Yes"))</f>
        <v>Yes</v>
      </c>
      <c r="I396" s="8" t="str">
        <f aca="false">IFERROR(DATEVALUE('Raw_Data (Before)'!G396),"")</f>
        <v/>
      </c>
      <c r="J396" s="7" t="str">
        <f aca="false">IF(I396="","No","Yes")</f>
        <v>No</v>
      </c>
      <c r="K396" s="7" t="str">
        <f aca="false">IF(OR(ISERROR(FIND("@",'Raw_Data (Before)'!H396)),ISNUMBER(FIND("@@",'Raw_Data (Before)'!H396)),ISNUMBER(FIND(" ",'Raw_Data (Before)'!H396)),ISERROR(FIND(".",'Raw_Data (Before)'!H396,FIND("@",'Raw_Data (Before)'!H396)))),"No","Yes")</f>
        <v>No</v>
      </c>
      <c r="L396" s="7" t="str">
        <f aca="false">IFERROR(INDEX(Lookup_Tables!$H$5:$H$9,MATCH(UPPER(TRIM('Raw_Data (Before)'!I396)),Lookup_Tables!$G$5:$G$9,0)),"UNMAPPED")</f>
        <v>Active</v>
      </c>
      <c r="M396" s="7" t="str">
        <f aca="false">IF(COUNTIF('Raw_Data (Before)'!$A$5:$A$424,A396)&gt;1,"YES","No")</f>
        <v>No</v>
      </c>
      <c r="N396" s="7" t="str">
        <f aca="false">IF(OR(C396="UNMAPPED",D396="UNMAPPED",F396="No",H396="No",J396="No",K396="No",L396="UNMAPPED",M396="YES"),"NEEDS REVIEW","OK")</f>
        <v>NEEDS REVIEW</v>
      </c>
    </row>
    <row r="397" customFormat="false" ht="15" hidden="false" customHeight="false" outlineLevel="0" collapsed="false">
      <c r="A397" s="7" t="str">
        <f aca="false">'Raw_Data (Before)'!A397</f>
        <v>EMP0088</v>
      </c>
      <c r="B397" s="7" t="str">
        <f aca="false">PROPER(TRIM('Raw_Data (Before)'!B397))</f>
        <v>Ngozi Umeh</v>
      </c>
      <c r="C397" s="7" t="str">
        <f aca="false">IFERROR(INDEX(Lookup_Tables!$B$5:$B$24,MATCH(UPPER(TRIM('Raw_Data (Before)'!C397)),Lookup_Tables!$A$5:$A$24,0)),"UNMAPPED")</f>
        <v>Finance</v>
      </c>
      <c r="D397" s="7" t="str">
        <f aca="false">IFERROR(INDEX(Lookup_Tables!$E$5:$E$8,MATCH(UPPER(TRIM('Raw_Data (Before)'!D397)),Lookup_Tables!$D$5:$D$8,0)),"UNMAPPED")</f>
        <v>Female</v>
      </c>
      <c r="E397" s="7" t="n">
        <f aca="false">'Raw_Data (Before)'!E397</f>
        <v>22</v>
      </c>
      <c r="F397" s="7" t="str">
        <f aca="false">IF(E397="","No",IF(OR(E397&lt;16,E397&gt;75),"No","Yes"))</f>
        <v>Yes</v>
      </c>
      <c r="G397" s="7" t="n">
        <f aca="false">IFERROR(VALUE(SUBSTITUTE(SUBSTITUTE('Raw_Data (Before)'!F397,"₦",""),",","")),"")</f>
        <v>538452</v>
      </c>
      <c r="H397" s="7" t="str">
        <f aca="false">IF(G397="","No",IF(OR(G397&lt;=0,G397&gt;5000000),"No","Yes"))</f>
        <v>Yes</v>
      </c>
      <c r="I397" s="8" t="n">
        <f aca="false">IFERROR(DATEVALUE('Raw_Data (Before)'!G397),"")</f>
        <v>45034</v>
      </c>
      <c r="J397" s="7" t="str">
        <f aca="false">IF(I397="","No","Yes")</f>
        <v>Yes</v>
      </c>
      <c r="K397" s="7" t="str">
        <f aca="false">IF(OR(ISERROR(FIND("@",'Raw_Data (Before)'!H397)),ISNUMBER(FIND("@@",'Raw_Data (Before)'!H397)),ISNUMBER(FIND(" ",'Raw_Data (Before)'!H397)),ISERROR(FIND(".",'Raw_Data (Before)'!H397,FIND("@",'Raw_Data (Before)'!H397)))),"No","Yes")</f>
        <v>Yes</v>
      </c>
      <c r="L397" s="7" t="str">
        <f aca="false">IFERROR(INDEX(Lookup_Tables!$H$5:$H$9,MATCH(UPPER(TRIM('Raw_Data (Before)'!I397)),Lookup_Tables!$G$5:$G$9,0)),"UNMAPPED")</f>
        <v>Active</v>
      </c>
      <c r="M397" s="7" t="str">
        <f aca="false">IF(COUNTIF('Raw_Data (Before)'!$A$5:$A$424,A397)&gt;1,"YES","No")</f>
        <v>No</v>
      </c>
      <c r="N397" s="7" t="str">
        <f aca="false">IF(OR(C397="UNMAPPED",D397="UNMAPPED",F397="No",H397="No",J397="No",K397="No",L397="UNMAPPED",M397="YES"),"NEEDS REVIEW","OK")</f>
        <v>OK</v>
      </c>
    </row>
    <row r="398" customFormat="false" ht="15" hidden="false" customHeight="false" outlineLevel="0" collapsed="false">
      <c r="A398" s="7" t="str">
        <f aca="false">'Raw_Data (Before)'!A398</f>
        <v>EMP0314</v>
      </c>
      <c r="B398" s="7" t="str">
        <f aca="false">PROPER(TRIM('Raw_Data (Before)'!B398))</f>
        <v>Hauwa Uche</v>
      </c>
      <c r="C398" s="7" t="str">
        <f aca="false">IFERROR(INDEX(Lookup_Tables!$B$5:$B$24,MATCH(UPPER(TRIM('Raw_Data (Before)'!C398)),Lookup_Tables!$A$5:$A$24,0)),"UNMAPPED")</f>
        <v>Sales</v>
      </c>
      <c r="D398" s="7" t="str">
        <f aca="false">IFERROR(INDEX(Lookup_Tables!$E$5:$E$8,MATCH(UPPER(TRIM('Raw_Data (Before)'!D398)),Lookup_Tables!$D$5:$D$8,0)),"UNMAPPED")</f>
        <v>Male</v>
      </c>
      <c r="E398" s="7" t="n">
        <f aca="false">'Raw_Data (Before)'!E398</f>
        <v>25</v>
      </c>
      <c r="F398" s="7" t="str">
        <f aca="false">IF(E398="","No",IF(OR(E398&lt;16,E398&gt;75),"No","Yes"))</f>
        <v>Yes</v>
      </c>
      <c r="G398" s="7" t="n">
        <f aca="false">IFERROR(VALUE(SUBSTITUTE(SUBSTITUTE('Raw_Data (Before)'!F398,"₦",""),",","")),"")</f>
        <v>700952</v>
      </c>
      <c r="H398" s="7" t="str">
        <f aca="false">IF(G398="","No",IF(OR(G398&lt;=0,G398&gt;5000000),"No","Yes"))</f>
        <v>Yes</v>
      </c>
      <c r="I398" s="8" t="n">
        <f aca="false">IFERROR(DATEVALUE('Raw_Data (Before)'!G398),"")</f>
        <v>45238</v>
      </c>
      <c r="J398" s="7" t="str">
        <f aca="false">IF(I398="","No","Yes")</f>
        <v>Yes</v>
      </c>
      <c r="K398" s="7" t="str">
        <f aca="false">IF(OR(ISERROR(FIND("@",'Raw_Data (Before)'!H398)),ISNUMBER(FIND("@@",'Raw_Data (Before)'!H398)),ISNUMBER(FIND(" ",'Raw_Data (Before)'!H398)),ISERROR(FIND(".",'Raw_Data (Before)'!H398,FIND("@",'Raw_Data (Before)'!H398)))),"No","Yes")</f>
        <v>Yes</v>
      </c>
      <c r="L398" s="7" t="str">
        <f aca="false">IFERROR(INDEX(Lookup_Tables!$H$5:$H$9,MATCH(UPPER(TRIM('Raw_Data (Before)'!I398)),Lookup_Tables!$G$5:$G$9,0)),"UNMAPPED")</f>
        <v>Active</v>
      </c>
      <c r="M398" s="7" t="str">
        <f aca="false">IF(COUNTIF('Raw_Data (Before)'!$A$5:$A$424,A398)&gt;1,"YES","No")</f>
        <v>No</v>
      </c>
      <c r="N398" s="7" t="str">
        <f aca="false">IF(OR(C398="UNMAPPED",D398="UNMAPPED",F398="No",H398="No",J398="No",K398="No",L398="UNMAPPED",M398="YES"),"NEEDS REVIEW","OK")</f>
        <v>OK</v>
      </c>
    </row>
    <row r="399" customFormat="false" ht="15" hidden="false" customHeight="false" outlineLevel="0" collapsed="false">
      <c r="A399" s="7" t="str">
        <f aca="false">'Raw_Data (Before)'!A399</f>
        <v>EMP0360</v>
      </c>
      <c r="B399" s="7" t="str">
        <f aca="false">PROPER(TRIM('Raw_Data (Before)'!B399))</f>
        <v>John Chukwu</v>
      </c>
      <c r="C399" s="7" t="str">
        <f aca="false">IFERROR(INDEX(Lookup_Tables!$B$5:$B$24,MATCH(UPPER(TRIM('Raw_Data (Before)'!C399)),Lookup_Tables!$A$5:$A$24,0)),"UNMAPPED")</f>
        <v>HR</v>
      </c>
      <c r="D399" s="7" t="str">
        <f aca="false">IFERROR(INDEX(Lookup_Tables!$E$5:$E$8,MATCH(UPPER(TRIM('Raw_Data (Before)'!D399)),Lookup_Tables!$D$5:$D$8,0)),"UNMAPPED")</f>
        <v>Female</v>
      </c>
      <c r="E399" s="7" t="n">
        <f aca="false">'Raw_Data (Before)'!E399</f>
        <v>45</v>
      </c>
      <c r="F399" s="7" t="str">
        <f aca="false">IF(E399="","No",IF(OR(E399&lt;16,E399&gt;75),"No","Yes"))</f>
        <v>Yes</v>
      </c>
      <c r="G399" s="7" t="n">
        <f aca="false">IFERROR(VALUE(SUBSTITUTE(SUBSTITUTE('Raw_Data (Before)'!F399,"₦",""),",","")),"")</f>
        <v>280134</v>
      </c>
      <c r="H399" s="7" t="str">
        <f aca="false">IF(G399="","No",IF(OR(G399&lt;=0,G399&gt;5000000),"No","Yes"))</f>
        <v>Yes</v>
      </c>
      <c r="I399" s="8" t="n">
        <f aca="false">IFERROR(DATEVALUE('Raw_Data (Before)'!G399),"")</f>
        <v>45476</v>
      </c>
      <c r="J399" s="7" t="str">
        <f aca="false">IF(I399="","No","Yes")</f>
        <v>Yes</v>
      </c>
      <c r="K399" s="7" t="str">
        <f aca="false">IF(OR(ISERROR(FIND("@",'Raw_Data (Before)'!H399)),ISNUMBER(FIND("@@",'Raw_Data (Before)'!H399)),ISNUMBER(FIND(" ",'Raw_Data (Before)'!H399)),ISERROR(FIND(".",'Raw_Data (Before)'!H399,FIND("@",'Raw_Data (Before)'!H399)))),"No","Yes")</f>
        <v>Yes</v>
      </c>
      <c r="L399" s="7" t="str">
        <f aca="false">IFERROR(INDEX(Lookup_Tables!$H$5:$H$9,MATCH(UPPER(TRIM('Raw_Data (Before)'!I399)),Lookup_Tables!$G$5:$G$9,0)),"UNMAPPED")</f>
        <v>Active</v>
      </c>
      <c r="M399" s="7" t="str">
        <f aca="false">IF(COUNTIF('Raw_Data (Before)'!$A$5:$A$424,A399)&gt;1,"YES","No")</f>
        <v>No</v>
      </c>
      <c r="N399" s="7" t="str">
        <f aca="false">IF(OR(C399="UNMAPPED",D399="UNMAPPED",F399="No",H399="No",J399="No",K399="No",L399="UNMAPPED",M399="YES"),"NEEDS REVIEW","OK")</f>
        <v>OK</v>
      </c>
    </row>
    <row r="400" customFormat="false" ht="15" hidden="false" customHeight="false" outlineLevel="0" collapsed="false">
      <c r="A400" s="7" t="str">
        <f aca="false">'Raw_Data (Before)'!A400</f>
        <v>EMP0070</v>
      </c>
      <c r="B400" s="7" t="str">
        <f aca="false">PROPER(TRIM('Raw_Data (Before)'!B400))</f>
        <v>Daniel Obi</v>
      </c>
      <c r="C400" s="7" t="str">
        <f aca="false">IFERROR(INDEX(Lookup_Tables!$B$5:$B$24,MATCH(UPPER(TRIM('Raw_Data (Before)'!C400)),Lookup_Tables!$A$5:$A$24,0)),"UNMAPPED")</f>
        <v>Finance</v>
      </c>
      <c r="D400" s="7" t="str">
        <f aca="false">IFERROR(INDEX(Lookup_Tables!$E$5:$E$8,MATCH(UPPER(TRIM('Raw_Data (Before)'!D400)),Lookup_Tables!$D$5:$D$8,0)),"UNMAPPED")</f>
        <v>Male</v>
      </c>
      <c r="E400" s="7" t="n">
        <f aca="false">'Raw_Data (Before)'!E400</f>
        <v>44</v>
      </c>
      <c r="F400" s="7" t="str">
        <f aca="false">IF(E400="","No",IF(OR(E400&lt;16,E400&gt;75),"No","Yes"))</f>
        <v>Yes</v>
      </c>
      <c r="G400" s="7" t="n">
        <f aca="false">IFERROR(VALUE(SUBSTITUTE(SUBSTITUTE('Raw_Data (Before)'!F400,"₦",""),",","")),"")</f>
        <v>853061</v>
      </c>
      <c r="H400" s="7" t="str">
        <f aca="false">IF(G400="","No",IF(OR(G400&lt;=0,G400&gt;5000000),"No","Yes"))</f>
        <v>Yes</v>
      </c>
      <c r="I400" s="8" t="n">
        <f aca="false">IFERROR(DATEVALUE('Raw_Data (Before)'!G400),"")</f>
        <v>43465</v>
      </c>
      <c r="J400" s="7" t="str">
        <f aca="false">IF(I400="","No","Yes")</f>
        <v>Yes</v>
      </c>
      <c r="K400" s="7" t="str">
        <f aca="false">IF(OR(ISERROR(FIND("@",'Raw_Data (Before)'!H400)),ISNUMBER(FIND("@@",'Raw_Data (Before)'!H400)),ISNUMBER(FIND(" ",'Raw_Data (Before)'!H400)),ISERROR(FIND(".",'Raw_Data (Before)'!H400,FIND("@",'Raw_Data (Before)'!H400)))),"No","Yes")</f>
        <v>Yes</v>
      </c>
      <c r="L400" s="7" t="str">
        <f aca="false">IFERROR(INDEX(Lookup_Tables!$H$5:$H$9,MATCH(UPPER(TRIM('Raw_Data (Before)'!I400)),Lookup_Tables!$G$5:$G$9,0)),"UNMAPPED")</f>
        <v>Active</v>
      </c>
      <c r="M400" s="7" t="str">
        <f aca="false">IF(COUNTIF('Raw_Data (Before)'!$A$5:$A$424,A400)&gt;1,"YES","No")</f>
        <v>No</v>
      </c>
      <c r="N400" s="7" t="str">
        <f aca="false">IF(OR(C400="UNMAPPED",D400="UNMAPPED",F400="No",H400="No",J400="No",K400="No",L400="UNMAPPED",M400="YES"),"NEEDS REVIEW","OK")</f>
        <v>OK</v>
      </c>
    </row>
    <row r="401" customFormat="false" ht="15" hidden="false" customHeight="false" outlineLevel="0" collapsed="false">
      <c r="A401" s="7" t="str">
        <f aca="false">'Raw_Data (Before)'!A401</f>
        <v>EMP0257</v>
      </c>
      <c r="B401" s="7" t="str">
        <f aca="false">PROPER(TRIM('Raw_Data (Before)'!B401))</f>
        <v>Ibrahim Eze</v>
      </c>
      <c r="C401" s="7" t="str">
        <f aca="false">IFERROR(INDEX(Lookup_Tables!$B$5:$B$24,MATCH(UPPER(TRIM('Raw_Data (Before)'!C401)),Lookup_Tables!$A$5:$A$24,0)),"UNMAPPED")</f>
        <v>Sales</v>
      </c>
      <c r="D401" s="7" t="str">
        <f aca="false">IFERROR(INDEX(Lookup_Tables!$E$5:$E$8,MATCH(UPPER(TRIM('Raw_Data (Before)'!D401)),Lookup_Tables!$D$5:$D$8,0)),"UNMAPPED")</f>
        <v>Female</v>
      </c>
      <c r="E401" s="7" t="n">
        <f aca="false">'Raw_Data (Before)'!E401</f>
        <v>40</v>
      </c>
      <c r="F401" s="7" t="str">
        <f aca="false">IF(E401="","No",IF(OR(E401&lt;16,E401&gt;75),"No","Yes"))</f>
        <v>Yes</v>
      </c>
      <c r="G401" s="7" t="n">
        <f aca="false">IFERROR(VALUE(SUBSTITUTE(SUBSTITUTE('Raw_Data (Before)'!F401,"₦",""),",","")),"")</f>
        <v>559706</v>
      </c>
      <c r="H401" s="7" t="str">
        <f aca="false">IF(G401="","No",IF(OR(G401&lt;=0,G401&gt;5000000),"No","Yes"))</f>
        <v>Yes</v>
      </c>
      <c r="I401" s="8" t="n">
        <f aca="false">IFERROR(DATEVALUE('Raw_Data (Before)'!G401),"")</f>
        <v>45048</v>
      </c>
      <c r="J401" s="7" t="str">
        <f aca="false">IF(I401="","No","Yes")</f>
        <v>Yes</v>
      </c>
      <c r="K401" s="7" t="str">
        <f aca="false">IF(OR(ISERROR(FIND("@",'Raw_Data (Before)'!H401)),ISNUMBER(FIND("@@",'Raw_Data (Before)'!H401)),ISNUMBER(FIND(" ",'Raw_Data (Before)'!H401)),ISERROR(FIND(".",'Raw_Data (Before)'!H401,FIND("@",'Raw_Data (Before)'!H401)))),"No","Yes")</f>
        <v>Yes</v>
      </c>
      <c r="L401" s="7" t="str">
        <f aca="false">IFERROR(INDEX(Lookup_Tables!$H$5:$H$9,MATCH(UPPER(TRIM('Raw_Data (Before)'!I401)),Lookup_Tables!$G$5:$G$9,0)),"UNMAPPED")</f>
        <v>Active</v>
      </c>
      <c r="M401" s="7" t="str">
        <f aca="false">IF(COUNTIF('Raw_Data (Before)'!$A$5:$A$424,A401)&gt;1,"YES","No")</f>
        <v>No</v>
      </c>
      <c r="N401" s="7" t="str">
        <f aca="false">IF(OR(C401="UNMAPPED",D401="UNMAPPED",F401="No",H401="No",J401="No",K401="No",L401="UNMAPPED",M401="YES"),"NEEDS REVIEW","OK")</f>
        <v>OK</v>
      </c>
    </row>
    <row r="402" customFormat="false" ht="15" hidden="false" customHeight="false" outlineLevel="0" collapsed="false">
      <c r="A402" s="7" t="str">
        <f aca="false">'Raw_Data (Before)'!A402</f>
        <v>EMP0108</v>
      </c>
      <c r="B402" s="7" t="str">
        <f aca="false">PROPER(TRIM('Raw_Data (Before)'!B402))</f>
        <v>James Bello</v>
      </c>
      <c r="C402" s="7" t="str">
        <f aca="false">IFERROR(INDEX(Lookup_Tables!$B$5:$B$24,MATCH(UPPER(TRIM('Raw_Data (Before)'!C402)),Lookup_Tables!$A$5:$A$24,0)),"UNMAPPED")</f>
        <v>Operations</v>
      </c>
      <c r="D402" s="7" t="str">
        <f aca="false">IFERROR(INDEX(Lookup_Tables!$E$5:$E$8,MATCH(UPPER(TRIM('Raw_Data (Before)'!D402)),Lookup_Tables!$D$5:$D$8,0)),"UNMAPPED")</f>
        <v>Male</v>
      </c>
      <c r="E402" s="7" t="n">
        <f aca="false">'Raw_Data (Before)'!E402</f>
        <v>58</v>
      </c>
      <c r="F402" s="7" t="str">
        <f aca="false">IF(E402="","No",IF(OR(E402&lt;16,E402&gt;75),"No","Yes"))</f>
        <v>Yes</v>
      </c>
      <c r="G402" s="7" t="n">
        <f aca="false">IFERROR(VALUE(SUBSTITUTE(SUBSTITUTE('Raw_Data (Before)'!F402,"₦",""),",","")),"")</f>
        <v>95713</v>
      </c>
      <c r="H402" s="7" t="str">
        <f aca="false">IF(G402="","No",IF(OR(G402&lt;=0,G402&gt;5000000),"No","Yes"))</f>
        <v>Yes</v>
      </c>
      <c r="I402" s="8" t="n">
        <f aca="false">IFERROR(DATEVALUE('Raw_Data (Before)'!G402),"")</f>
        <v>43676</v>
      </c>
      <c r="J402" s="7" t="str">
        <f aca="false">IF(I402="","No","Yes")</f>
        <v>Yes</v>
      </c>
      <c r="K402" s="7" t="str">
        <f aca="false">IF(OR(ISERROR(FIND("@",'Raw_Data (Before)'!H402)),ISNUMBER(FIND("@@",'Raw_Data (Before)'!H402)),ISNUMBER(FIND(" ",'Raw_Data (Before)'!H402)),ISERROR(FIND(".",'Raw_Data (Before)'!H402,FIND("@",'Raw_Data (Before)'!H402)))),"No","Yes")</f>
        <v>Yes</v>
      </c>
      <c r="L402" s="7" t="str">
        <f aca="false">IFERROR(INDEX(Lookup_Tables!$H$5:$H$9,MATCH(UPPER(TRIM('Raw_Data (Before)'!I402)),Lookup_Tables!$G$5:$G$9,0)),"UNMAPPED")</f>
        <v>Active</v>
      </c>
      <c r="M402" s="7" t="str">
        <f aca="false">IF(COUNTIF('Raw_Data (Before)'!$A$5:$A$424,A402)&gt;1,"YES","No")</f>
        <v>YES</v>
      </c>
      <c r="N402" s="7" t="str">
        <f aca="false">IF(OR(C402="UNMAPPED",D402="UNMAPPED",F402="No",H402="No",J402="No",K402="No",L402="UNMAPPED",M402="YES"),"NEEDS REVIEW","OK")</f>
        <v>NEEDS REVIEW</v>
      </c>
    </row>
    <row r="403" customFormat="false" ht="15" hidden="false" customHeight="false" outlineLevel="0" collapsed="false">
      <c r="A403" s="7" t="str">
        <f aca="false">'Raw_Data (Before)'!A403</f>
        <v>EMP0133</v>
      </c>
      <c r="B403" s="7" t="str">
        <f aca="false">PROPER(TRIM('Raw_Data (Before)'!B403))</f>
        <v>Bisi Adamu</v>
      </c>
      <c r="C403" s="7" t="str">
        <f aca="false">IFERROR(INDEX(Lookup_Tables!$B$5:$B$24,MATCH(UPPER(TRIM('Raw_Data (Before)'!C403)),Lookup_Tables!$A$5:$A$24,0)),"UNMAPPED")</f>
        <v>Sales</v>
      </c>
      <c r="D403" s="7" t="str">
        <f aca="false">IFERROR(INDEX(Lookup_Tables!$E$5:$E$8,MATCH(UPPER(TRIM('Raw_Data (Before)'!D403)),Lookup_Tables!$D$5:$D$8,0)),"UNMAPPED")</f>
        <v>Female</v>
      </c>
      <c r="E403" s="7" t="n">
        <f aca="false">'Raw_Data (Before)'!E403</f>
        <v>21</v>
      </c>
      <c r="F403" s="7" t="str">
        <f aca="false">IF(E403="","No",IF(OR(E403&lt;16,E403&gt;75),"No","Yes"))</f>
        <v>Yes</v>
      </c>
      <c r="G403" s="7" t="n">
        <f aca="false">IFERROR(VALUE(SUBSTITUTE(SUBSTITUTE('Raw_Data (Before)'!F403,"₦",""),",","")),"")</f>
        <v>288615</v>
      </c>
      <c r="H403" s="7" t="str">
        <f aca="false">IF(G403="","No",IF(OR(G403&lt;=0,G403&gt;5000000),"No","Yes"))</f>
        <v>Yes</v>
      </c>
      <c r="I403" s="8" t="str">
        <f aca="false">IFERROR(DATEVALUE('Raw_Data (Before)'!G403),"")</f>
        <v/>
      </c>
      <c r="J403" s="7" t="str">
        <f aca="false">IF(I403="","No","Yes")</f>
        <v>No</v>
      </c>
      <c r="K403" s="7" t="str">
        <f aca="false">IF(OR(ISERROR(FIND("@",'Raw_Data (Before)'!H403)),ISNUMBER(FIND("@@",'Raw_Data (Before)'!H403)),ISNUMBER(FIND(" ",'Raw_Data (Before)'!H403)),ISERROR(FIND(".",'Raw_Data (Before)'!H403,FIND("@",'Raw_Data (Before)'!H403)))),"No","Yes")</f>
        <v>Yes</v>
      </c>
      <c r="L403" s="7" t="str">
        <f aca="false">IFERROR(INDEX(Lookup_Tables!$H$5:$H$9,MATCH(UPPER(TRIM('Raw_Data (Before)'!I403)),Lookup_Tables!$G$5:$G$9,0)),"UNMAPPED")</f>
        <v>Active</v>
      </c>
      <c r="M403" s="7" t="str">
        <f aca="false">IF(COUNTIF('Raw_Data (Before)'!$A$5:$A$424,A403)&gt;1,"YES","No")</f>
        <v>No</v>
      </c>
      <c r="N403" s="7" t="str">
        <f aca="false">IF(OR(C403="UNMAPPED",D403="UNMAPPED",F403="No",H403="No",J403="No",K403="No",L403="UNMAPPED",M403="YES"),"NEEDS REVIEW","OK")</f>
        <v>NEEDS REVIEW</v>
      </c>
    </row>
    <row r="404" customFormat="false" ht="15" hidden="false" customHeight="false" outlineLevel="0" collapsed="false">
      <c r="A404" s="7" t="str">
        <f aca="false">'Raw_Data (Before)'!A404</f>
        <v>EMP0096</v>
      </c>
      <c r="B404" s="7" t="str">
        <f aca="false">PROPER(TRIM('Raw_Data (Before)'!B404))</f>
        <v>Grace Chukwu</v>
      </c>
      <c r="C404" s="7" t="str">
        <f aca="false">IFERROR(INDEX(Lookup_Tables!$B$5:$B$24,MATCH(UPPER(TRIM('Raw_Data (Before)'!C404)),Lookup_Tables!$A$5:$A$24,0)),"UNMAPPED")</f>
        <v>Finance</v>
      </c>
      <c r="D404" s="7" t="str">
        <f aca="false">IFERROR(INDEX(Lookup_Tables!$E$5:$E$8,MATCH(UPPER(TRIM('Raw_Data (Before)'!D404)),Lookup_Tables!$D$5:$D$8,0)),"UNMAPPED")</f>
        <v>Female</v>
      </c>
      <c r="E404" s="7" t="n">
        <f aca="false">'Raw_Data (Before)'!E404</f>
        <v>35</v>
      </c>
      <c r="F404" s="7" t="str">
        <f aca="false">IF(E404="","No",IF(OR(E404&lt;16,E404&gt;75),"No","Yes"))</f>
        <v>Yes</v>
      </c>
      <c r="G404" s="7" t="n">
        <f aca="false">IFERROR(VALUE(SUBSTITUTE(SUBSTITUTE('Raw_Data (Before)'!F404,"₦",""),",","")),"")</f>
        <v>56329700</v>
      </c>
      <c r="H404" s="7" t="str">
        <f aca="false">IF(G404="","No",IF(OR(G404&lt;=0,G404&gt;5000000),"No","Yes"))</f>
        <v>No</v>
      </c>
      <c r="I404" s="8" t="n">
        <f aca="false">IFERROR(DATEVALUE('Raw_Data (Before)'!G404),"")</f>
        <v>43801</v>
      </c>
      <c r="J404" s="7" t="str">
        <f aca="false">IF(I404="","No","Yes")</f>
        <v>Yes</v>
      </c>
      <c r="K404" s="7" t="str">
        <f aca="false">IF(OR(ISERROR(FIND("@",'Raw_Data (Before)'!H404)),ISNUMBER(FIND("@@",'Raw_Data (Before)'!H404)),ISNUMBER(FIND(" ",'Raw_Data (Before)'!H404)),ISERROR(FIND(".",'Raw_Data (Before)'!H404,FIND("@",'Raw_Data (Before)'!H404)))),"No","Yes")</f>
        <v>Yes</v>
      </c>
      <c r="L404" s="7" t="str">
        <f aca="false">IFERROR(INDEX(Lookup_Tables!$H$5:$H$9,MATCH(UPPER(TRIM('Raw_Data (Before)'!I404)),Lookup_Tables!$G$5:$G$9,0)),"UNMAPPED")</f>
        <v>Inactive</v>
      </c>
      <c r="M404" s="7" t="str">
        <f aca="false">IF(COUNTIF('Raw_Data (Before)'!$A$5:$A$424,A404)&gt;1,"YES","No")</f>
        <v>No</v>
      </c>
      <c r="N404" s="7" t="str">
        <f aca="false">IF(OR(C404="UNMAPPED",D404="UNMAPPED",F404="No",H404="No",J404="No",K404="No",L404="UNMAPPED",M404="YES"),"NEEDS REVIEW","OK")</f>
        <v>NEEDS REVIEW</v>
      </c>
    </row>
    <row r="405" customFormat="false" ht="15" hidden="false" customHeight="false" outlineLevel="0" collapsed="false">
      <c r="A405" s="7" t="str">
        <f aca="false">'Raw_Data (Before)'!A405</f>
        <v>EMP0356</v>
      </c>
      <c r="B405" s="7" t="str">
        <f aca="false">PROPER(TRIM('Raw_Data (Before)'!B405))</f>
        <v>Chinedu Obi</v>
      </c>
      <c r="C405" s="7" t="str">
        <f aca="false">IFERROR(INDEX(Lookup_Tables!$B$5:$B$24,MATCH(UPPER(TRIM('Raw_Data (Before)'!C405)),Lookup_Tables!$A$5:$A$24,0)),"UNMAPPED")</f>
        <v>IT</v>
      </c>
      <c r="D405" s="7" t="str">
        <f aca="false">IFERROR(INDEX(Lookup_Tables!$E$5:$E$8,MATCH(UPPER(TRIM('Raw_Data (Before)'!D405)),Lookup_Tables!$D$5:$D$8,0)),"UNMAPPED")</f>
        <v>Female</v>
      </c>
      <c r="E405" s="7" t="n">
        <f aca="false">'Raw_Data (Before)'!E405</f>
        <v>5</v>
      </c>
      <c r="F405" s="7" t="str">
        <f aca="false">IF(E405="","No",IF(OR(E405&lt;16,E405&gt;75),"No","Yes"))</f>
        <v>No</v>
      </c>
      <c r="G405" s="7" t="n">
        <f aca="false">IFERROR(VALUE(SUBSTITUTE(SUBSTITUTE('Raw_Data (Before)'!F405,"₦",""),",","")),"")</f>
        <v>197792</v>
      </c>
      <c r="H405" s="7" t="str">
        <f aca="false">IF(G405="","No",IF(OR(G405&lt;=0,G405&gt;5000000),"No","Yes"))</f>
        <v>Yes</v>
      </c>
      <c r="I405" s="8" t="str">
        <f aca="false">IFERROR(DATEVALUE('Raw_Data (Before)'!G405),"")</f>
        <v/>
      </c>
      <c r="J405" s="7" t="str">
        <f aca="false">IF(I405="","No","Yes")</f>
        <v>No</v>
      </c>
      <c r="K405" s="7" t="str">
        <f aca="false">IF(OR(ISERROR(FIND("@",'Raw_Data (Before)'!H405)),ISNUMBER(FIND("@@",'Raw_Data (Before)'!H405)),ISNUMBER(FIND(" ",'Raw_Data (Before)'!H405)),ISERROR(FIND(".",'Raw_Data (Before)'!H405,FIND("@",'Raw_Data (Before)'!H405)))),"No","Yes")</f>
        <v>Yes</v>
      </c>
      <c r="L405" s="7" t="str">
        <f aca="false">IFERROR(INDEX(Lookup_Tables!$H$5:$H$9,MATCH(UPPER(TRIM('Raw_Data (Before)'!I405)),Lookup_Tables!$G$5:$G$9,0)),"UNMAPPED")</f>
        <v>Active</v>
      </c>
      <c r="M405" s="7" t="str">
        <f aca="false">IF(COUNTIF('Raw_Data (Before)'!$A$5:$A$424,A405)&gt;1,"YES","No")</f>
        <v>No</v>
      </c>
      <c r="N405" s="7" t="str">
        <f aca="false">IF(OR(C405="UNMAPPED",D405="UNMAPPED",F405="No",H405="No",J405="No",K405="No",L405="UNMAPPED",M405="YES"),"NEEDS REVIEW","OK")</f>
        <v>NEEDS REVIEW</v>
      </c>
    </row>
    <row r="406" customFormat="false" ht="15" hidden="false" customHeight="false" outlineLevel="0" collapsed="false">
      <c r="A406" s="7" t="str">
        <f aca="false">'Raw_Data (Before)'!A406</f>
        <v>EMP0090</v>
      </c>
      <c r="B406" s="7" t="str">
        <f aca="false">PROPER(TRIM('Raw_Data (Before)'!B406))</f>
        <v>Grace Adeyemi</v>
      </c>
      <c r="C406" s="7" t="str">
        <f aca="false">IFERROR(INDEX(Lookup_Tables!$B$5:$B$24,MATCH(UPPER(TRIM('Raw_Data (Before)'!C406)),Lookup_Tables!$A$5:$A$24,0)),"UNMAPPED")</f>
        <v>Finance</v>
      </c>
      <c r="D406" s="7" t="str">
        <f aca="false">IFERROR(INDEX(Lookup_Tables!$E$5:$E$8,MATCH(UPPER(TRIM('Raw_Data (Before)'!D406)),Lookup_Tables!$D$5:$D$8,0)),"UNMAPPED")</f>
        <v>Male</v>
      </c>
      <c r="E406" s="7" t="n">
        <f aca="false">'Raw_Data (Before)'!E406</f>
        <v>25</v>
      </c>
      <c r="F406" s="7" t="str">
        <f aca="false">IF(E406="","No",IF(OR(E406&lt;16,E406&gt;75),"No","Yes"))</f>
        <v>Yes</v>
      </c>
      <c r="G406" s="7" t="n">
        <f aca="false">IFERROR(VALUE(SUBSTITUTE(SUBSTITUTE('Raw_Data (Before)'!F406,"₦",""),",","")),"")</f>
        <v>872484</v>
      </c>
      <c r="H406" s="7" t="str">
        <f aca="false">IF(G406="","No",IF(OR(G406&lt;=0,G406&gt;5000000),"No","Yes"))</f>
        <v>Yes</v>
      </c>
      <c r="I406" s="8" t="n">
        <f aca="false">IFERROR(DATEVALUE('Raw_Data (Before)'!G406),"")</f>
        <v>43917</v>
      </c>
      <c r="J406" s="7" t="str">
        <f aca="false">IF(I406="","No","Yes")</f>
        <v>Yes</v>
      </c>
      <c r="K406" s="7" t="str">
        <f aca="false">IF(OR(ISERROR(FIND("@",'Raw_Data (Before)'!H406)),ISNUMBER(FIND("@@",'Raw_Data (Before)'!H406)),ISNUMBER(FIND(" ",'Raw_Data (Before)'!H406)),ISERROR(FIND(".",'Raw_Data (Before)'!H406,FIND("@",'Raw_Data (Before)'!H406)))),"No","Yes")</f>
        <v>Yes</v>
      </c>
      <c r="L406" s="7" t="str">
        <f aca="false">IFERROR(INDEX(Lookup_Tables!$H$5:$H$9,MATCH(UPPER(TRIM('Raw_Data (Before)'!I406)),Lookup_Tables!$G$5:$G$9,0)),"UNMAPPED")</f>
        <v>Active</v>
      </c>
      <c r="M406" s="7" t="str">
        <f aca="false">IF(COUNTIF('Raw_Data (Before)'!$A$5:$A$424,A406)&gt;1,"YES","No")</f>
        <v>No</v>
      </c>
      <c r="N406" s="7" t="str">
        <f aca="false">IF(OR(C406="UNMAPPED",D406="UNMAPPED",F406="No",H406="No",J406="No",K406="No",L406="UNMAPPED",M406="YES"),"NEEDS REVIEW","OK")</f>
        <v>OK</v>
      </c>
    </row>
    <row r="407" customFormat="false" ht="15" hidden="false" customHeight="false" outlineLevel="0" collapsed="false">
      <c r="A407" s="7" t="str">
        <f aca="false">'Raw_Data (Before)'!A407</f>
        <v>EMP0331</v>
      </c>
      <c r="B407" s="7" t="str">
        <f aca="false">PROPER(TRIM('Raw_Data (Before)'!B407))</f>
        <v>Emmanuel Lawal</v>
      </c>
      <c r="C407" s="7" t="str">
        <f aca="false">IFERROR(INDEX(Lookup_Tables!$B$5:$B$24,MATCH(UPPER(TRIM('Raw_Data (Before)'!C407)),Lookup_Tables!$A$5:$A$24,0)),"UNMAPPED")</f>
        <v>Marketing</v>
      </c>
      <c r="D407" s="7" t="str">
        <f aca="false">IFERROR(INDEX(Lookup_Tables!$E$5:$E$8,MATCH(UPPER(TRIM('Raw_Data (Before)'!D407)),Lookup_Tables!$D$5:$D$8,0)),"UNMAPPED")</f>
        <v>Female</v>
      </c>
      <c r="E407" s="7" t="n">
        <f aca="false">'Raw_Data (Before)'!E407</f>
        <v>48</v>
      </c>
      <c r="F407" s="7" t="str">
        <f aca="false">IF(E407="","No",IF(OR(E407&lt;16,E407&gt;75),"No","Yes"))</f>
        <v>Yes</v>
      </c>
      <c r="G407" s="7" t="n">
        <f aca="false">IFERROR(VALUE(SUBSTITUTE(SUBSTITUTE('Raw_Data (Before)'!F407,"₦",""),",","")),"")</f>
        <v>822291</v>
      </c>
      <c r="H407" s="7" t="str">
        <f aca="false">IF(G407="","No",IF(OR(G407&lt;=0,G407&gt;5000000),"No","Yes"))</f>
        <v>Yes</v>
      </c>
      <c r="I407" s="8" t="str">
        <f aca="false">IFERROR(DATEVALUE('Raw_Data (Before)'!G407),"")</f>
        <v/>
      </c>
      <c r="J407" s="7" t="str">
        <f aca="false">IF(I407="","No","Yes")</f>
        <v>No</v>
      </c>
      <c r="K407" s="7" t="str">
        <f aca="false">IF(OR(ISERROR(FIND("@",'Raw_Data (Before)'!H407)),ISNUMBER(FIND("@@",'Raw_Data (Before)'!H407)),ISNUMBER(FIND(" ",'Raw_Data (Before)'!H407)),ISERROR(FIND(".",'Raw_Data (Before)'!H407,FIND("@",'Raw_Data (Before)'!H407)))),"No","Yes")</f>
        <v>Yes</v>
      </c>
      <c r="L407" s="7" t="str">
        <f aca="false">IFERROR(INDEX(Lookup_Tables!$H$5:$H$9,MATCH(UPPER(TRIM('Raw_Data (Before)'!I407)),Lookup_Tables!$G$5:$G$9,0)),"UNMAPPED")</f>
        <v>Active</v>
      </c>
      <c r="M407" s="7" t="str">
        <f aca="false">IF(COUNTIF('Raw_Data (Before)'!$A$5:$A$424,A407)&gt;1,"YES","No")</f>
        <v>No</v>
      </c>
      <c r="N407" s="7" t="str">
        <f aca="false">IF(OR(C407="UNMAPPED",D407="UNMAPPED",F407="No",H407="No",J407="No",K407="No",L407="UNMAPPED",M407="YES"),"NEEDS REVIEW","OK")</f>
        <v>NEEDS REVIEW</v>
      </c>
    </row>
    <row r="408" customFormat="false" ht="15" hidden="false" customHeight="false" outlineLevel="0" collapsed="false">
      <c r="A408" s="7" t="str">
        <f aca="false">'Raw_Data (Before)'!A408</f>
        <v>EMP0035</v>
      </c>
      <c r="B408" s="7" t="str">
        <f aca="false">PROPER(TRIM('Raw_Data (Before)'!B408))</f>
        <v>Ibrahim Nnamdi</v>
      </c>
      <c r="C408" s="7" t="str">
        <f aca="false">IFERROR(INDEX(Lookup_Tables!$B$5:$B$24,MATCH(UPPER(TRIM('Raw_Data (Before)'!C408)),Lookup_Tables!$A$5:$A$24,0)),"UNMAPPED")</f>
        <v>Finance</v>
      </c>
      <c r="D408" s="7" t="str">
        <f aca="false">IFERROR(INDEX(Lookup_Tables!$E$5:$E$8,MATCH(UPPER(TRIM('Raw_Data (Before)'!D408)),Lookup_Tables!$D$5:$D$8,0)),"UNMAPPED")</f>
        <v>Male</v>
      </c>
      <c r="E408" s="7" t="n">
        <f aca="false">'Raw_Data (Before)'!E408</f>
        <v>0</v>
      </c>
      <c r="F408" s="7" t="str">
        <f aca="false">IF(E408="","No",IF(OR(E408&lt;16,E408&gt;75),"No","Yes"))</f>
        <v>No</v>
      </c>
      <c r="G408" s="7" t="n">
        <f aca="false">IFERROR(VALUE(SUBSTITUTE(SUBSTITUTE('Raw_Data (Before)'!F408,"₦",""),",","")),"")</f>
        <v>748068</v>
      </c>
      <c r="H408" s="7" t="str">
        <f aca="false">IF(G408="","No",IF(OR(G408&lt;=0,G408&gt;5000000),"No","Yes"))</f>
        <v>Yes</v>
      </c>
      <c r="I408" s="8" t="str">
        <f aca="false">IFERROR(DATEVALUE('Raw_Data (Before)'!G408),"")</f>
        <v/>
      </c>
      <c r="J408" s="7" t="str">
        <f aca="false">IF(I408="","No","Yes")</f>
        <v>No</v>
      </c>
      <c r="K408" s="7" t="str">
        <f aca="false">IF(OR(ISERROR(FIND("@",'Raw_Data (Before)'!H408)),ISNUMBER(FIND("@@",'Raw_Data (Before)'!H408)),ISNUMBER(FIND(" ",'Raw_Data (Before)'!H408)),ISERROR(FIND(".",'Raw_Data (Before)'!H408,FIND("@",'Raw_Data (Before)'!H408)))),"No","Yes")</f>
        <v>Yes</v>
      </c>
      <c r="L408" s="7" t="str">
        <f aca="false">IFERROR(INDEX(Lookup_Tables!$H$5:$H$9,MATCH(UPPER(TRIM('Raw_Data (Before)'!I408)),Lookup_Tables!$G$5:$G$9,0)),"UNMAPPED")</f>
        <v>Active</v>
      </c>
      <c r="M408" s="7" t="str">
        <f aca="false">IF(COUNTIF('Raw_Data (Before)'!$A$5:$A$424,A408)&gt;1,"YES","No")</f>
        <v>No</v>
      </c>
      <c r="N408" s="7" t="str">
        <f aca="false">IF(OR(C408="UNMAPPED",D408="UNMAPPED",F408="No",H408="No",J408="No",K408="No",L408="UNMAPPED",M408="YES"),"NEEDS REVIEW","OK")</f>
        <v>NEEDS REVIEW</v>
      </c>
    </row>
    <row r="409" customFormat="false" ht="15" hidden="false" customHeight="false" outlineLevel="0" collapsed="false">
      <c r="A409" s="7" t="str">
        <f aca="false">'Raw_Data (Before)'!A409</f>
        <v>EMP0089</v>
      </c>
      <c r="B409" s="7" t="str">
        <f aca="false">PROPER(TRIM('Raw_Data (Before)'!B409))</f>
        <v>Blessing Abubakar</v>
      </c>
      <c r="C409" s="7" t="str">
        <f aca="false">IFERROR(INDEX(Lookup_Tables!$B$5:$B$24,MATCH(UPPER(TRIM('Raw_Data (Before)'!C409)),Lookup_Tables!$A$5:$A$24,0)),"UNMAPPED")</f>
        <v>IT</v>
      </c>
      <c r="D409" s="7" t="str">
        <f aca="false">IFERROR(INDEX(Lookup_Tables!$E$5:$E$8,MATCH(UPPER(TRIM('Raw_Data (Before)'!D409)),Lookup_Tables!$D$5:$D$8,0)),"UNMAPPED")</f>
        <v>Male</v>
      </c>
      <c r="E409" s="7" t="n">
        <f aca="false">'Raw_Data (Before)'!E409</f>
        <v>60</v>
      </c>
      <c r="F409" s="7" t="str">
        <f aca="false">IF(E409="","No",IF(OR(E409&lt;16,E409&gt;75),"No","Yes"))</f>
        <v>Yes</v>
      </c>
      <c r="G409" s="7" t="n">
        <f aca="false">IFERROR(VALUE(SUBSTITUTE(SUBSTITUTE('Raw_Data (Before)'!F409,"₦",""),",","")),"")</f>
        <v>249671</v>
      </c>
      <c r="H409" s="7" t="str">
        <f aca="false">IF(G409="","No",IF(OR(G409&lt;=0,G409&gt;5000000),"No","Yes"))</f>
        <v>Yes</v>
      </c>
      <c r="I409" s="8" t="str">
        <f aca="false">IFERROR(DATEVALUE('Raw_Data (Before)'!G409),"")</f>
        <v/>
      </c>
      <c r="J409" s="7" t="str">
        <f aca="false">IF(I409="","No","Yes")</f>
        <v>No</v>
      </c>
      <c r="K409" s="7" t="str">
        <f aca="false">IF(OR(ISERROR(FIND("@",'Raw_Data (Before)'!H409)),ISNUMBER(FIND("@@",'Raw_Data (Before)'!H409)),ISNUMBER(FIND(" ",'Raw_Data (Before)'!H409)),ISERROR(FIND(".",'Raw_Data (Before)'!H409,FIND("@",'Raw_Data (Before)'!H409)))),"No","Yes")</f>
        <v>Yes</v>
      </c>
      <c r="L409" s="7" t="str">
        <f aca="false">IFERROR(INDEX(Lookup_Tables!$H$5:$H$9,MATCH(UPPER(TRIM('Raw_Data (Before)'!I409)),Lookup_Tables!$G$5:$G$9,0)),"UNMAPPED")</f>
        <v>Inactive</v>
      </c>
      <c r="M409" s="7" t="str">
        <f aca="false">IF(COUNTIF('Raw_Data (Before)'!$A$5:$A$424,A409)&gt;1,"YES","No")</f>
        <v>No</v>
      </c>
      <c r="N409" s="7" t="str">
        <f aca="false">IF(OR(C409="UNMAPPED",D409="UNMAPPED",F409="No",H409="No",J409="No",K409="No",L409="UNMAPPED",M409="YES"),"NEEDS REVIEW","OK")</f>
        <v>NEEDS REVIEW</v>
      </c>
    </row>
    <row r="410" customFormat="false" ht="15" hidden="false" customHeight="false" outlineLevel="0" collapsed="false">
      <c r="A410" s="7" t="str">
        <f aca="false">'Raw_Data (Before)'!A410</f>
        <v>EMP0278</v>
      </c>
      <c r="B410" s="7" t="str">
        <f aca="false">PROPER(TRIM('Raw_Data (Before)'!B410))</f>
        <v>Yusuf Nnamdi</v>
      </c>
      <c r="C410" s="7" t="str">
        <f aca="false">IFERROR(INDEX(Lookup_Tables!$B$5:$B$24,MATCH(UPPER(TRIM('Raw_Data (Before)'!C410)),Lookup_Tables!$A$5:$A$24,0)),"UNMAPPED")</f>
        <v>Sales</v>
      </c>
      <c r="D410" s="7" t="str">
        <f aca="false">IFERROR(INDEX(Lookup_Tables!$E$5:$E$8,MATCH(UPPER(TRIM('Raw_Data (Before)'!D410)),Lookup_Tables!$D$5:$D$8,0)),"UNMAPPED")</f>
        <v>Male</v>
      </c>
      <c r="E410" s="7" t="n">
        <f aca="false">'Raw_Data (Before)'!E410</f>
        <v>39</v>
      </c>
      <c r="F410" s="7" t="str">
        <f aca="false">IF(E410="","No",IF(OR(E410&lt;16,E410&gt;75),"No","Yes"))</f>
        <v>Yes</v>
      </c>
      <c r="G410" s="7" t="n">
        <f aca="false">IFERROR(VALUE(SUBSTITUTE(SUBSTITUTE('Raw_Data (Before)'!F410,"₦",""),",","")),"")</f>
        <v>863969</v>
      </c>
      <c r="H410" s="7" t="str">
        <f aca="false">IF(G410="","No",IF(OR(G410&lt;=0,G410&gt;5000000),"No","Yes"))</f>
        <v>Yes</v>
      </c>
      <c r="I410" s="8" t="n">
        <f aca="false">IFERROR(DATEVALUE('Raw_Data (Before)'!G410),"")</f>
        <v>45395</v>
      </c>
      <c r="J410" s="7" t="str">
        <f aca="false">IF(I410="","No","Yes")</f>
        <v>Yes</v>
      </c>
      <c r="K410" s="7" t="str">
        <f aca="false">IF(OR(ISERROR(FIND("@",'Raw_Data (Before)'!H410)),ISNUMBER(FIND("@@",'Raw_Data (Before)'!H410)),ISNUMBER(FIND(" ",'Raw_Data (Before)'!H410)),ISERROR(FIND(".",'Raw_Data (Before)'!H410,FIND("@",'Raw_Data (Before)'!H410)))),"No","Yes")</f>
        <v>No</v>
      </c>
      <c r="L410" s="7" t="str">
        <f aca="false">IFERROR(INDEX(Lookup_Tables!$H$5:$H$9,MATCH(UPPER(TRIM('Raw_Data (Before)'!I410)),Lookup_Tables!$G$5:$G$9,0)),"UNMAPPED")</f>
        <v>Active</v>
      </c>
      <c r="M410" s="7" t="str">
        <f aca="false">IF(COUNTIF('Raw_Data (Before)'!$A$5:$A$424,A410)&gt;1,"YES","No")</f>
        <v>YES</v>
      </c>
      <c r="N410" s="7" t="str">
        <f aca="false">IF(OR(C410="UNMAPPED",D410="UNMAPPED",F410="No",H410="No",J410="No",K410="No",L410="UNMAPPED",M410="YES"),"NEEDS REVIEW","OK")</f>
        <v>NEEDS REVIEW</v>
      </c>
    </row>
    <row r="411" customFormat="false" ht="15" hidden="false" customHeight="false" outlineLevel="0" collapsed="false">
      <c r="A411" s="7" t="str">
        <f aca="false">'Raw_Data (Before)'!A411</f>
        <v>EMP0102</v>
      </c>
      <c r="B411" s="7" t="str">
        <f aca="false">PROPER(TRIM('Raw_Data (Before)'!B411))</f>
        <v>Samuel Balogun</v>
      </c>
      <c r="C411" s="7" t="str">
        <f aca="false">IFERROR(INDEX(Lookup_Tables!$B$5:$B$24,MATCH(UPPER(TRIM('Raw_Data (Before)'!C411)),Lookup_Tables!$A$5:$A$24,0)),"UNMAPPED")</f>
        <v>HR</v>
      </c>
      <c r="D411" s="7" t="str">
        <f aca="false">IFERROR(INDEX(Lookup_Tables!$E$5:$E$8,MATCH(UPPER(TRIM('Raw_Data (Before)'!D411)),Lookup_Tables!$D$5:$D$8,0)),"UNMAPPED")</f>
        <v>Male</v>
      </c>
      <c r="E411" s="7" t="n">
        <f aca="false">'Raw_Data (Before)'!E411</f>
        <v>32</v>
      </c>
      <c r="F411" s="7" t="str">
        <f aca="false">IF(E411="","No",IF(OR(E411&lt;16,E411&gt;75),"No","Yes"))</f>
        <v>Yes</v>
      </c>
      <c r="G411" s="7" t="n">
        <f aca="false">IFERROR(VALUE(SUBSTITUTE(SUBSTITUTE('Raw_Data (Before)'!F411,"₦",""),",","")),"")</f>
        <v>766282</v>
      </c>
      <c r="H411" s="7" t="str">
        <f aca="false">IF(G411="","No",IF(OR(G411&lt;=0,G411&gt;5000000),"No","Yes"))</f>
        <v>Yes</v>
      </c>
      <c r="I411" s="8" t="n">
        <f aca="false">IFERROR(DATEVALUE('Raw_Data (Before)'!G411),"")</f>
        <v>45866</v>
      </c>
      <c r="J411" s="7" t="str">
        <f aca="false">IF(I411="","No","Yes")</f>
        <v>Yes</v>
      </c>
      <c r="K411" s="7" t="str">
        <f aca="false">IF(OR(ISERROR(FIND("@",'Raw_Data (Before)'!H411)),ISNUMBER(FIND("@@",'Raw_Data (Before)'!H411)),ISNUMBER(FIND(" ",'Raw_Data (Before)'!H411)),ISERROR(FIND(".",'Raw_Data (Before)'!H411,FIND("@",'Raw_Data (Before)'!H411)))),"No","Yes")</f>
        <v>No</v>
      </c>
      <c r="L411" s="7" t="str">
        <f aca="false">IFERROR(INDEX(Lookup_Tables!$H$5:$H$9,MATCH(UPPER(TRIM('Raw_Data (Before)'!I411)),Lookup_Tables!$G$5:$G$9,0)),"UNMAPPED")</f>
        <v>Inactive</v>
      </c>
      <c r="M411" s="7" t="str">
        <f aca="false">IF(COUNTIF('Raw_Data (Before)'!$A$5:$A$424,A411)&gt;1,"YES","No")</f>
        <v>No</v>
      </c>
      <c r="N411" s="7" t="str">
        <f aca="false">IF(OR(C411="UNMAPPED",D411="UNMAPPED",F411="No",H411="No",J411="No",K411="No",L411="UNMAPPED",M411="YES"),"NEEDS REVIEW","OK")</f>
        <v>NEEDS REVIEW</v>
      </c>
    </row>
    <row r="412" customFormat="false" ht="15" hidden="false" customHeight="false" outlineLevel="0" collapsed="false">
      <c r="A412" s="7" t="str">
        <f aca="false">'Raw_Data (Before)'!A412</f>
        <v>EMP0242</v>
      </c>
      <c r="B412" s="7" t="str">
        <f aca="false">PROPER(TRIM('Raw_Data (Before)'!B412))</f>
        <v>Peter Eze</v>
      </c>
      <c r="C412" s="7" t="str">
        <f aca="false">IFERROR(INDEX(Lookup_Tables!$B$5:$B$24,MATCH(UPPER(TRIM('Raw_Data (Before)'!C412)),Lookup_Tables!$A$5:$A$24,0)),"UNMAPPED")</f>
        <v>Operations</v>
      </c>
      <c r="D412" s="7" t="str">
        <f aca="false">IFERROR(INDEX(Lookup_Tables!$E$5:$E$8,MATCH(UPPER(TRIM('Raw_Data (Before)'!D412)),Lookup_Tables!$D$5:$D$8,0)),"UNMAPPED")</f>
        <v>Male</v>
      </c>
      <c r="E412" s="7" t="n">
        <f aca="false">'Raw_Data (Before)'!E412</f>
        <v>30</v>
      </c>
      <c r="F412" s="7" t="str">
        <f aca="false">IF(E412="","No",IF(OR(E412&lt;16,E412&gt;75),"No","Yes"))</f>
        <v>Yes</v>
      </c>
      <c r="G412" s="7" t="n">
        <f aca="false">IFERROR(VALUE(SUBSTITUTE(SUBSTITUTE('Raw_Data (Before)'!F412,"₦",""),",","")),"")</f>
        <v>751909</v>
      </c>
      <c r="H412" s="7" t="str">
        <f aca="false">IF(G412="","No",IF(OR(G412&lt;=0,G412&gt;5000000),"No","Yes"))</f>
        <v>Yes</v>
      </c>
      <c r="I412" s="8" t="str">
        <f aca="false">IFERROR(DATEVALUE('Raw_Data (Before)'!G412),"")</f>
        <v/>
      </c>
      <c r="J412" s="7" t="str">
        <f aca="false">IF(I412="","No","Yes")</f>
        <v>No</v>
      </c>
      <c r="K412" s="7" t="str">
        <f aca="false">IF(OR(ISERROR(FIND("@",'Raw_Data (Before)'!H412)),ISNUMBER(FIND("@@",'Raw_Data (Before)'!H412)),ISNUMBER(FIND(" ",'Raw_Data (Before)'!H412)),ISERROR(FIND(".",'Raw_Data (Before)'!H412,FIND("@",'Raw_Data (Before)'!H412)))),"No","Yes")</f>
        <v>Yes</v>
      </c>
      <c r="L412" s="7" t="str">
        <f aca="false">IFERROR(INDEX(Lookup_Tables!$H$5:$H$9,MATCH(UPPER(TRIM('Raw_Data (Before)'!I412)),Lookup_Tables!$G$5:$G$9,0)),"UNMAPPED")</f>
        <v>Inactive</v>
      </c>
      <c r="M412" s="7" t="str">
        <f aca="false">IF(COUNTIF('Raw_Data (Before)'!$A$5:$A$424,A412)&gt;1,"YES","No")</f>
        <v>No</v>
      </c>
      <c r="N412" s="7" t="str">
        <f aca="false">IF(OR(C412="UNMAPPED",D412="UNMAPPED",F412="No",H412="No",J412="No",K412="No",L412="UNMAPPED",M412="YES"),"NEEDS REVIEW","OK")</f>
        <v>NEEDS REVIEW</v>
      </c>
    </row>
    <row r="413" customFormat="false" ht="15" hidden="false" customHeight="false" outlineLevel="0" collapsed="false">
      <c r="A413" s="7" t="str">
        <f aca="false">'Raw_Data (Before)'!A413</f>
        <v>EMP0280</v>
      </c>
      <c r="B413" s="7" t="str">
        <f aca="false">PROPER(TRIM('Raw_Data (Before)'!B413))</f>
        <v>Aisha Duru</v>
      </c>
      <c r="C413" s="7" t="str">
        <f aca="false">IFERROR(INDEX(Lookup_Tables!$B$5:$B$24,MATCH(UPPER(TRIM('Raw_Data (Before)'!C413)),Lookup_Tables!$A$5:$A$24,0)),"UNMAPPED")</f>
        <v>Customer Service</v>
      </c>
      <c r="D413" s="7" t="str">
        <f aca="false">IFERROR(INDEX(Lookup_Tables!$E$5:$E$8,MATCH(UPPER(TRIM('Raw_Data (Before)'!D413)),Lookup_Tables!$D$5:$D$8,0)),"UNMAPPED")</f>
        <v>Male</v>
      </c>
      <c r="E413" s="7" t="n">
        <f aca="false">'Raw_Data (Before)'!E413</f>
        <v>26</v>
      </c>
      <c r="F413" s="7" t="str">
        <f aca="false">IF(E413="","No",IF(OR(E413&lt;16,E413&gt;75),"No","Yes"))</f>
        <v>Yes</v>
      </c>
      <c r="G413" s="7" t="n">
        <f aca="false">IFERROR(VALUE(SUBSTITUTE(SUBSTITUTE('Raw_Data (Before)'!F413,"₦",""),",","")),"")</f>
        <v>434039</v>
      </c>
      <c r="H413" s="7" t="str">
        <f aca="false">IF(G413="","No",IF(OR(G413&lt;=0,G413&gt;5000000),"No","Yes"))</f>
        <v>Yes</v>
      </c>
      <c r="I413" s="8" t="n">
        <f aca="false">IFERROR(DATEVALUE('Raw_Data (Before)'!G413),"")</f>
        <v>44591</v>
      </c>
      <c r="J413" s="7" t="str">
        <f aca="false">IF(I413="","No","Yes")</f>
        <v>Yes</v>
      </c>
      <c r="K413" s="7" t="str">
        <f aca="false">IF(OR(ISERROR(FIND("@",'Raw_Data (Before)'!H413)),ISNUMBER(FIND("@@",'Raw_Data (Before)'!H413)),ISNUMBER(FIND(" ",'Raw_Data (Before)'!H413)),ISERROR(FIND(".",'Raw_Data (Before)'!H413,FIND("@",'Raw_Data (Before)'!H413)))),"No","Yes")</f>
        <v>Yes</v>
      </c>
      <c r="L413" s="7" t="str">
        <f aca="false">IFERROR(INDEX(Lookup_Tables!$H$5:$H$9,MATCH(UPPER(TRIM('Raw_Data (Before)'!I413)),Lookup_Tables!$G$5:$G$9,0)),"UNMAPPED")</f>
        <v>Active</v>
      </c>
      <c r="M413" s="7" t="str">
        <f aca="false">IF(COUNTIF('Raw_Data (Before)'!$A$5:$A$424,A413)&gt;1,"YES","No")</f>
        <v>No</v>
      </c>
      <c r="N413" s="7" t="str">
        <f aca="false">IF(OR(C413="UNMAPPED",D413="UNMAPPED",F413="No",H413="No",J413="No",K413="No",L413="UNMAPPED",M413="YES"),"NEEDS REVIEW","OK")</f>
        <v>OK</v>
      </c>
    </row>
    <row r="414" customFormat="false" ht="15" hidden="false" customHeight="false" outlineLevel="0" collapsed="false">
      <c r="A414" s="7" t="str">
        <f aca="false">'Raw_Data (Before)'!A414</f>
        <v>EMP0255</v>
      </c>
      <c r="B414" s="7" t="str">
        <f aca="false">PROPER(TRIM('Raw_Data (Before)'!B414))</f>
        <v>Daniel Uche</v>
      </c>
      <c r="C414" s="7" t="str">
        <f aca="false">IFERROR(INDEX(Lookup_Tables!$B$5:$B$24,MATCH(UPPER(TRIM('Raw_Data (Before)'!C414)),Lookup_Tables!$A$5:$A$24,0)),"UNMAPPED")</f>
        <v>Finance</v>
      </c>
      <c r="D414" s="7" t="str">
        <f aca="false">IFERROR(INDEX(Lookup_Tables!$E$5:$E$8,MATCH(UPPER(TRIM('Raw_Data (Before)'!D414)),Lookup_Tables!$D$5:$D$8,0)),"UNMAPPED")</f>
        <v>Female</v>
      </c>
      <c r="E414" s="7" t="n">
        <f aca="false">'Raw_Data (Before)'!E414</f>
        <v>35</v>
      </c>
      <c r="F414" s="7" t="str">
        <f aca="false">IF(E414="","No",IF(OR(E414&lt;16,E414&gt;75),"No","Yes"))</f>
        <v>Yes</v>
      </c>
      <c r="G414" s="7" t="n">
        <f aca="false">IFERROR(VALUE(SUBSTITUTE(SUBSTITUTE('Raw_Data (Before)'!F414,"₦",""),",","")),"")</f>
        <v>331769</v>
      </c>
      <c r="H414" s="7" t="str">
        <f aca="false">IF(G414="","No",IF(OR(G414&lt;=0,G414&gt;5000000),"No","Yes"))</f>
        <v>Yes</v>
      </c>
      <c r="I414" s="8" t="n">
        <f aca="false">IFERROR(DATEVALUE('Raw_Data (Before)'!G414),"")</f>
        <v>43379</v>
      </c>
      <c r="J414" s="7" t="str">
        <f aca="false">IF(I414="","No","Yes")</f>
        <v>Yes</v>
      </c>
      <c r="K414" s="7" t="str">
        <f aca="false">IF(OR(ISERROR(FIND("@",'Raw_Data (Before)'!H414)),ISNUMBER(FIND("@@",'Raw_Data (Before)'!H414)),ISNUMBER(FIND(" ",'Raw_Data (Before)'!H414)),ISERROR(FIND(".",'Raw_Data (Before)'!H414,FIND("@",'Raw_Data (Before)'!H414)))),"No","Yes")</f>
        <v>Yes</v>
      </c>
      <c r="L414" s="7" t="str">
        <f aca="false">IFERROR(INDEX(Lookup_Tables!$H$5:$H$9,MATCH(UPPER(TRIM('Raw_Data (Before)'!I414)),Lookup_Tables!$G$5:$G$9,0)),"UNMAPPED")</f>
        <v>Active</v>
      </c>
      <c r="M414" s="7" t="str">
        <f aca="false">IF(COUNTIF('Raw_Data (Before)'!$A$5:$A$424,A414)&gt;1,"YES","No")</f>
        <v>No</v>
      </c>
      <c r="N414" s="7" t="str">
        <f aca="false">IF(OR(C414="UNMAPPED",D414="UNMAPPED",F414="No",H414="No",J414="No",K414="No",L414="UNMAPPED",M414="YES"),"NEEDS REVIEW","OK")</f>
        <v>OK</v>
      </c>
    </row>
    <row r="415" customFormat="false" ht="15" hidden="false" customHeight="false" outlineLevel="0" collapsed="false">
      <c r="A415" s="7" t="str">
        <f aca="false">'Raw_Data (Before)'!A415</f>
        <v>EMP0022</v>
      </c>
      <c r="B415" s="7" t="str">
        <f aca="false">PROPER(TRIM('Raw_Data (Before)'!B415))</f>
        <v>Hauwa Adamu</v>
      </c>
      <c r="C415" s="7" t="str">
        <f aca="false">IFERROR(INDEX(Lookup_Tables!$B$5:$B$24,MATCH(UPPER(TRIM('Raw_Data (Before)'!C415)),Lookup_Tables!$A$5:$A$24,0)),"UNMAPPED")</f>
        <v>Customer Service</v>
      </c>
      <c r="D415" s="7" t="str">
        <f aca="false">IFERROR(INDEX(Lookup_Tables!$E$5:$E$8,MATCH(UPPER(TRIM('Raw_Data (Before)'!D415)),Lookup_Tables!$D$5:$D$8,0)),"UNMAPPED")</f>
        <v>Male</v>
      </c>
      <c r="E415" s="7" t="n">
        <f aca="false">'Raw_Data (Before)'!E415</f>
        <v>29</v>
      </c>
      <c r="F415" s="7" t="str">
        <f aca="false">IF(E415="","No",IF(OR(E415&lt;16,E415&gt;75),"No","Yes"))</f>
        <v>Yes</v>
      </c>
      <c r="G415" s="7" t="n">
        <f aca="false">IFERROR(VALUE(SUBSTITUTE(SUBSTITUTE('Raw_Data (Before)'!F415,"₦",""),",","")),"")</f>
        <v>51687500</v>
      </c>
      <c r="H415" s="7" t="str">
        <f aca="false">IF(G415="","No",IF(OR(G415&lt;=0,G415&gt;5000000),"No","Yes"))</f>
        <v>No</v>
      </c>
      <c r="I415" s="8" t="n">
        <f aca="false">IFERROR(DATEVALUE('Raw_Data (Before)'!G415),"")</f>
        <v>45569</v>
      </c>
      <c r="J415" s="7" t="str">
        <f aca="false">IF(I415="","No","Yes")</f>
        <v>Yes</v>
      </c>
      <c r="K415" s="7" t="str">
        <f aca="false">IF(OR(ISERROR(FIND("@",'Raw_Data (Before)'!H415)),ISNUMBER(FIND("@@",'Raw_Data (Before)'!H415)),ISNUMBER(FIND(" ",'Raw_Data (Before)'!H415)),ISERROR(FIND(".",'Raw_Data (Before)'!H415,FIND("@",'Raw_Data (Before)'!H415)))),"No","Yes")</f>
        <v>Yes</v>
      </c>
      <c r="L415" s="7" t="str">
        <f aca="false">IFERROR(INDEX(Lookup_Tables!$H$5:$H$9,MATCH(UPPER(TRIM('Raw_Data (Before)'!I415)),Lookup_Tables!$G$5:$G$9,0)),"UNMAPPED")</f>
        <v>Inactive</v>
      </c>
      <c r="M415" s="7" t="str">
        <f aca="false">IF(COUNTIF('Raw_Data (Before)'!$A$5:$A$424,A415)&gt;1,"YES","No")</f>
        <v>No</v>
      </c>
      <c r="N415" s="7" t="str">
        <f aca="false">IF(OR(C415="UNMAPPED",D415="UNMAPPED",F415="No",H415="No",J415="No",K415="No",L415="UNMAPPED",M415="YES"),"NEEDS REVIEW","OK")</f>
        <v>NEEDS REVIEW</v>
      </c>
    </row>
    <row r="416" customFormat="false" ht="15" hidden="false" customHeight="false" outlineLevel="0" collapsed="false">
      <c r="A416" s="7" t="str">
        <f aca="false">'Raw_Data (Before)'!A416</f>
        <v>EMP0346</v>
      </c>
      <c r="B416" s="7" t="str">
        <f aca="false">PROPER(TRIM('Raw_Data (Before)'!B416))</f>
        <v>Tunde Okonkwo</v>
      </c>
      <c r="C416" s="7" t="str">
        <f aca="false">IFERROR(INDEX(Lookup_Tables!$B$5:$B$24,MATCH(UPPER(TRIM('Raw_Data (Before)'!C416)),Lookup_Tables!$A$5:$A$24,0)),"UNMAPPED")</f>
        <v>Marketing</v>
      </c>
      <c r="D416" s="7" t="str">
        <f aca="false">IFERROR(INDEX(Lookup_Tables!$E$5:$E$8,MATCH(UPPER(TRIM('Raw_Data (Before)'!D416)),Lookup_Tables!$D$5:$D$8,0)),"UNMAPPED")</f>
        <v>Male</v>
      </c>
      <c r="E416" s="7" t="n">
        <f aca="false">'Raw_Data (Before)'!E416</f>
        <v>21</v>
      </c>
      <c r="F416" s="7" t="str">
        <f aca="false">IF(E416="","No",IF(OR(E416&lt;16,E416&gt;75),"No","Yes"))</f>
        <v>Yes</v>
      </c>
      <c r="G416" s="7" t="n">
        <f aca="false">IFERROR(VALUE(SUBSTITUTE(SUBSTITUTE('Raw_Data (Before)'!F416,"₦",""),",","")),"")</f>
        <v>544126</v>
      </c>
      <c r="H416" s="7" t="str">
        <f aca="false">IF(G416="","No",IF(OR(G416&lt;=0,G416&gt;5000000),"No","Yes"))</f>
        <v>Yes</v>
      </c>
      <c r="I416" s="8" t="str">
        <f aca="false">IFERROR(DATEVALUE('Raw_Data (Before)'!G416),"")</f>
        <v/>
      </c>
      <c r="J416" s="7" t="str">
        <f aca="false">IF(I416="","No","Yes")</f>
        <v>No</v>
      </c>
      <c r="K416" s="7" t="str">
        <f aca="false">IF(OR(ISERROR(FIND("@",'Raw_Data (Before)'!H416)),ISNUMBER(FIND("@@",'Raw_Data (Before)'!H416)),ISNUMBER(FIND(" ",'Raw_Data (Before)'!H416)),ISERROR(FIND(".",'Raw_Data (Before)'!H416,FIND("@",'Raw_Data (Before)'!H416)))),"No","Yes")</f>
        <v>Yes</v>
      </c>
      <c r="L416" s="7" t="str">
        <f aca="false">IFERROR(INDEX(Lookup_Tables!$H$5:$H$9,MATCH(UPPER(TRIM('Raw_Data (Before)'!I416)),Lookup_Tables!$G$5:$G$9,0)),"UNMAPPED")</f>
        <v>Active</v>
      </c>
      <c r="M416" s="7" t="str">
        <f aca="false">IF(COUNTIF('Raw_Data (Before)'!$A$5:$A$424,A416)&gt;1,"YES","No")</f>
        <v>No</v>
      </c>
      <c r="N416" s="7" t="str">
        <f aca="false">IF(OR(C416="UNMAPPED",D416="UNMAPPED",F416="No",H416="No",J416="No",K416="No",L416="UNMAPPED",M416="YES"),"NEEDS REVIEW","OK")</f>
        <v>NEEDS REVIEW</v>
      </c>
    </row>
    <row r="417" customFormat="false" ht="15" hidden="false" customHeight="false" outlineLevel="0" collapsed="false">
      <c r="A417" s="7" t="str">
        <f aca="false">'Raw_Data (Before)'!A417</f>
        <v>EMP0206</v>
      </c>
      <c r="B417" s="7" t="str">
        <f aca="false">PROPER(TRIM('Raw_Data (Before)'!B417))</f>
        <v>Chinedu Uche</v>
      </c>
      <c r="C417" s="7" t="str">
        <f aca="false">IFERROR(INDEX(Lookup_Tables!$B$5:$B$24,MATCH(UPPER(TRIM('Raw_Data (Before)'!C417)),Lookup_Tables!$A$5:$A$24,0)),"UNMAPPED")</f>
        <v>Finance</v>
      </c>
      <c r="D417" s="7" t="str">
        <f aca="false">IFERROR(INDEX(Lookup_Tables!$E$5:$E$8,MATCH(UPPER(TRIM('Raw_Data (Before)'!D417)),Lookup_Tables!$D$5:$D$8,0)),"UNMAPPED")</f>
        <v>Female</v>
      </c>
      <c r="E417" s="7" t="n">
        <f aca="false">'Raw_Data (Before)'!E417</f>
        <v>32</v>
      </c>
      <c r="F417" s="7" t="str">
        <f aca="false">IF(E417="","No",IF(OR(E417&lt;16,E417&gt;75),"No","Yes"))</f>
        <v>Yes</v>
      </c>
      <c r="G417" s="7" t="n">
        <f aca="false">IFERROR(VALUE(SUBSTITUTE(SUBSTITUTE('Raw_Data (Before)'!F417,"₦",""),",","")),"")</f>
        <v>369272</v>
      </c>
      <c r="H417" s="7" t="str">
        <f aca="false">IF(G417="","No",IF(OR(G417&lt;=0,G417&gt;5000000),"No","Yes"))</f>
        <v>Yes</v>
      </c>
      <c r="I417" s="8" t="n">
        <f aca="false">IFERROR(DATEVALUE('Raw_Data (Before)'!G417),"")</f>
        <v>43378</v>
      </c>
      <c r="J417" s="7" t="str">
        <f aca="false">IF(I417="","No","Yes")</f>
        <v>Yes</v>
      </c>
      <c r="K417" s="7" t="str">
        <f aca="false">IF(OR(ISERROR(FIND("@",'Raw_Data (Before)'!H417)),ISNUMBER(FIND("@@",'Raw_Data (Before)'!H417)),ISNUMBER(FIND(" ",'Raw_Data (Before)'!H417)),ISERROR(FIND(".",'Raw_Data (Before)'!H417,FIND("@",'Raw_Data (Before)'!H417)))),"No","Yes")</f>
        <v>Yes</v>
      </c>
      <c r="L417" s="7" t="str">
        <f aca="false">IFERROR(INDEX(Lookup_Tables!$H$5:$H$9,MATCH(UPPER(TRIM('Raw_Data (Before)'!I417)),Lookup_Tables!$G$5:$G$9,0)),"UNMAPPED")</f>
        <v>Active</v>
      </c>
      <c r="M417" s="7" t="str">
        <f aca="false">IF(COUNTIF('Raw_Data (Before)'!$A$5:$A$424,A417)&gt;1,"YES","No")</f>
        <v>No</v>
      </c>
      <c r="N417" s="7" t="str">
        <f aca="false">IF(OR(C417="UNMAPPED",D417="UNMAPPED",F417="No",H417="No",J417="No",K417="No",L417="UNMAPPED",M417="YES"),"NEEDS REVIEW","OK")</f>
        <v>OK</v>
      </c>
    </row>
    <row r="418" customFormat="false" ht="15" hidden="false" customHeight="false" outlineLevel="0" collapsed="false">
      <c r="A418" s="7" t="str">
        <f aca="false">'Raw_Data (Before)'!A418</f>
        <v>EMP0350</v>
      </c>
      <c r="B418" s="7" t="str">
        <f aca="false">PROPER(TRIM('Raw_Data (Before)'!B418))</f>
        <v>Ibrahim Umeh</v>
      </c>
      <c r="C418" s="7" t="str">
        <f aca="false">IFERROR(INDEX(Lookup_Tables!$B$5:$B$24,MATCH(UPPER(TRIM('Raw_Data (Before)'!C418)),Lookup_Tables!$A$5:$A$24,0)),"UNMAPPED")</f>
        <v>Operations</v>
      </c>
      <c r="D418" s="7" t="str">
        <f aca="false">IFERROR(INDEX(Lookup_Tables!$E$5:$E$8,MATCH(UPPER(TRIM('Raw_Data (Before)'!D418)),Lookup_Tables!$D$5:$D$8,0)),"UNMAPPED")</f>
        <v>Male</v>
      </c>
      <c r="E418" s="7" t="n">
        <f aca="false">'Raw_Data (Before)'!E418</f>
        <v>0</v>
      </c>
      <c r="F418" s="7" t="str">
        <f aca="false">IF(E418="","No",IF(OR(E418&lt;16,E418&gt;75),"No","Yes"))</f>
        <v>No</v>
      </c>
      <c r="G418" s="7" t="n">
        <f aca="false">IFERROR(VALUE(SUBSTITUTE(SUBSTITUTE('Raw_Data (Before)'!F418,"₦",""),",","")),"")</f>
        <v>902541</v>
      </c>
      <c r="H418" s="7" t="str">
        <f aca="false">IF(G418="","No",IF(OR(G418&lt;=0,G418&gt;5000000),"No","Yes"))</f>
        <v>Yes</v>
      </c>
      <c r="I418" s="8" t="str">
        <f aca="false">IFERROR(DATEVALUE('Raw_Data (Before)'!G418),"")</f>
        <v/>
      </c>
      <c r="J418" s="7" t="str">
        <f aca="false">IF(I418="","No","Yes")</f>
        <v>No</v>
      </c>
      <c r="K418" s="7" t="str">
        <f aca="false">IF(OR(ISERROR(FIND("@",'Raw_Data (Before)'!H418)),ISNUMBER(FIND("@@",'Raw_Data (Before)'!H418)),ISNUMBER(FIND(" ",'Raw_Data (Before)'!H418)),ISERROR(FIND(".",'Raw_Data (Before)'!H418,FIND("@",'Raw_Data (Before)'!H418)))),"No","Yes")</f>
        <v>Yes</v>
      </c>
      <c r="L418" s="7" t="str">
        <f aca="false">IFERROR(INDEX(Lookup_Tables!$H$5:$H$9,MATCH(UPPER(TRIM('Raw_Data (Before)'!I418)),Lookup_Tables!$G$5:$G$9,0)),"UNMAPPED")</f>
        <v>Inactive</v>
      </c>
      <c r="M418" s="7" t="str">
        <f aca="false">IF(COUNTIF('Raw_Data (Before)'!$A$5:$A$424,A418)&gt;1,"YES","No")</f>
        <v>No</v>
      </c>
      <c r="N418" s="7" t="str">
        <f aca="false">IF(OR(C418="UNMAPPED",D418="UNMAPPED",F418="No",H418="No",J418="No",K418="No",L418="UNMAPPED",M418="YES"),"NEEDS REVIEW","OK")</f>
        <v>NEEDS REVIEW</v>
      </c>
    </row>
    <row r="419" customFormat="false" ht="15" hidden="false" customHeight="false" outlineLevel="0" collapsed="false">
      <c r="A419" s="7" t="str">
        <f aca="false">'Raw_Data (Before)'!A419</f>
        <v>EMP0165</v>
      </c>
      <c r="B419" s="7" t="str">
        <f aca="false">PROPER(TRIM('Raw_Data (Before)'!B419))</f>
        <v>Ngozi Nnamdi</v>
      </c>
      <c r="C419" s="7" t="str">
        <f aca="false">IFERROR(INDEX(Lookup_Tables!$B$5:$B$24,MATCH(UPPER(TRIM('Raw_Data (Before)'!C419)),Lookup_Tables!$A$5:$A$24,0)),"UNMAPPED")</f>
        <v>Customer Service</v>
      </c>
      <c r="D419" s="7" t="str">
        <f aca="false">IFERROR(INDEX(Lookup_Tables!$E$5:$E$8,MATCH(UPPER(TRIM('Raw_Data (Before)'!D419)),Lookup_Tables!$D$5:$D$8,0)),"UNMAPPED")</f>
        <v>Male</v>
      </c>
      <c r="E419" s="7" t="n">
        <f aca="false">'Raw_Data (Before)'!E419</f>
        <v>60</v>
      </c>
      <c r="F419" s="7" t="str">
        <f aca="false">IF(E419="","No",IF(OR(E419&lt;16,E419&gt;75),"No","Yes"))</f>
        <v>Yes</v>
      </c>
      <c r="G419" s="7" t="n">
        <f aca="false">IFERROR(VALUE(SUBSTITUTE(SUBSTITUTE('Raw_Data (Before)'!F419,"₦",""),",","")),"")</f>
        <v>531539</v>
      </c>
      <c r="H419" s="7" t="str">
        <f aca="false">IF(G419="","No",IF(OR(G419&lt;=0,G419&gt;5000000),"No","Yes"))</f>
        <v>Yes</v>
      </c>
      <c r="I419" s="8" t="n">
        <f aca="false">IFERROR(DATEVALUE('Raw_Data (Before)'!G419),"")</f>
        <v>45241</v>
      </c>
      <c r="J419" s="7" t="str">
        <f aca="false">IF(I419="","No","Yes")</f>
        <v>Yes</v>
      </c>
      <c r="K419" s="7" t="str">
        <f aca="false">IF(OR(ISERROR(FIND("@",'Raw_Data (Before)'!H419)),ISNUMBER(FIND("@@",'Raw_Data (Before)'!H419)),ISNUMBER(FIND(" ",'Raw_Data (Before)'!H419)),ISERROR(FIND(".",'Raw_Data (Before)'!H419,FIND("@",'Raw_Data (Before)'!H419)))),"No","Yes")</f>
        <v>No</v>
      </c>
      <c r="L419" s="7" t="str">
        <f aca="false">IFERROR(INDEX(Lookup_Tables!$H$5:$H$9,MATCH(UPPER(TRIM('Raw_Data (Before)'!I419)),Lookup_Tables!$G$5:$G$9,0)),"UNMAPPED")</f>
        <v>Active</v>
      </c>
      <c r="M419" s="7" t="str">
        <f aca="false">IF(COUNTIF('Raw_Data (Before)'!$A$5:$A$424,A419)&gt;1,"YES","No")</f>
        <v>No</v>
      </c>
      <c r="N419" s="7" t="str">
        <f aca="false">IF(OR(C419="UNMAPPED",D419="UNMAPPED",F419="No",H419="No",J419="No",K419="No",L419="UNMAPPED",M419="YES"),"NEEDS REVIEW","OK")</f>
        <v>NEEDS REVIEW</v>
      </c>
    </row>
    <row r="420" customFormat="false" ht="15" hidden="false" customHeight="false" outlineLevel="0" collapsed="false">
      <c r="A420" s="7" t="str">
        <f aca="false">'Raw_Data (Before)'!A420</f>
        <v>EMP0113</v>
      </c>
      <c r="B420" s="7" t="str">
        <f aca="false">PROPER(TRIM('Raw_Data (Before)'!B420))</f>
        <v>Amaka Nnamdi</v>
      </c>
      <c r="C420" s="7" t="str">
        <f aca="false">IFERROR(INDEX(Lookup_Tables!$B$5:$B$24,MATCH(UPPER(TRIM('Raw_Data (Before)'!C420)),Lookup_Tables!$A$5:$A$24,0)),"UNMAPPED")</f>
        <v>HR</v>
      </c>
      <c r="D420" s="7" t="str">
        <f aca="false">IFERROR(INDEX(Lookup_Tables!$E$5:$E$8,MATCH(UPPER(TRIM('Raw_Data (Before)'!D420)),Lookup_Tables!$D$5:$D$8,0)),"UNMAPPED")</f>
        <v>Male</v>
      </c>
      <c r="E420" s="7" t="n">
        <f aca="false">'Raw_Data (Before)'!E420</f>
        <v>44</v>
      </c>
      <c r="F420" s="7" t="str">
        <f aca="false">IF(E420="","No",IF(OR(E420&lt;16,E420&gt;75),"No","Yes"))</f>
        <v>Yes</v>
      </c>
      <c r="G420" s="7" t="n">
        <f aca="false">IFERROR(VALUE(SUBSTITUTE(SUBSTITUTE('Raw_Data (Before)'!F420,"₦",""),",","")),"")</f>
        <v>437890</v>
      </c>
      <c r="H420" s="7" t="str">
        <f aca="false">IF(G420="","No",IF(OR(G420&lt;=0,G420&gt;5000000),"No","Yes"))</f>
        <v>Yes</v>
      </c>
      <c r="I420" s="8" t="n">
        <f aca="false">IFERROR(DATEVALUE('Raw_Data (Before)'!G420),"")</f>
        <v>45778</v>
      </c>
      <c r="J420" s="7" t="str">
        <f aca="false">IF(I420="","No","Yes")</f>
        <v>Yes</v>
      </c>
      <c r="K420" s="7" t="str">
        <f aca="false">IF(OR(ISERROR(FIND("@",'Raw_Data (Before)'!H420)),ISNUMBER(FIND("@@",'Raw_Data (Before)'!H420)),ISNUMBER(FIND(" ",'Raw_Data (Before)'!H420)),ISERROR(FIND(".",'Raw_Data (Before)'!H420,FIND("@",'Raw_Data (Before)'!H420)))),"No","Yes")</f>
        <v>Yes</v>
      </c>
      <c r="L420" s="7" t="str">
        <f aca="false">IFERROR(INDEX(Lookup_Tables!$H$5:$H$9,MATCH(UPPER(TRIM('Raw_Data (Before)'!I420)),Lookup_Tables!$G$5:$G$9,0)),"UNMAPPED")</f>
        <v>Active</v>
      </c>
      <c r="M420" s="7" t="str">
        <f aca="false">IF(COUNTIF('Raw_Data (Before)'!$A$5:$A$424,A420)&gt;1,"YES","No")</f>
        <v>YES</v>
      </c>
      <c r="N420" s="7" t="str">
        <f aca="false">IF(OR(C420="UNMAPPED",D420="UNMAPPED",F420="No",H420="No",J420="No",K420="No",L420="UNMAPPED",M420="YES"),"NEEDS REVIEW","OK")</f>
        <v>NEEDS REVIEW</v>
      </c>
    </row>
    <row r="421" customFormat="false" ht="15" hidden="false" customHeight="false" outlineLevel="0" collapsed="false">
      <c r="A421" s="7" t="str">
        <f aca="false">'Raw_Data (Before)'!A421</f>
        <v>EMP0193</v>
      </c>
      <c r="B421" s="7" t="str">
        <f aca="false">PROPER(TRIM('Raw_Data (Before)'!B421))</f>
        <v>Musa Nnamdi</v>
      </c>
      <c r="C421" s="7" t="str">
        <f aca="false">IFERROR(INDEX(Lookup_Tables!$B$5:$B$24,MATCH(UPPER(TRIM('Raw_Data (Before)'!C421)),Lookup_Tables!$A$5:$A$24,0)),"UNMAPPED")</f>
        <v>Marketing</v>
      </c>
      <c r="D421" s="7" t="str">
        <f aca="false">IFERROR(INDEX(Lookup_Tables!$E$5:$E$8,MATCH(UPPER(TRIM('Raw_Data (Before)'!D421)),Lookup_Tables!$D$5:$D$8,0)),"UNMAPPED")</f>
        <v>Female</v>
      </c>
      <c r="E421" s="7" t="n">
        <f aca="false">'Raw_Data (Before)'!E421</f>
        <v>53</v>
      </c>
      <c r="F421" s="7" t="str">
        <f aca="false">IF(E421="","No",IF(OR(E421&lt;16,E421&gt;75),"No","Yes"))</f>
        <v>Yes</v>
      </c>
      <c r="G421" s="7" t="n">
        <f aca="false">IFERROR(VALUE(SUBSTITUTE(SUBSTITUTE('Raw_Data (Before)'!F421,"₦",""),",","")),"")</f>
        <v>697040</v>
      </c>
      <c r="H421" s="7" t="str">
        <f aca="false">IF(G421="","No",IF(OR(G421&lt;=0,G421&gt;5000000),"No","Yes"))</f>
        <v>Yes</v>
      </c>
      <c r="I421" s="8" t="n">
        <f aca="false">IFERROR(DATEVALUE('Raw_Data (Before)'!G421),"")</f>
        <v>45317</v>
      </c>
      <c r="J421" s="7" t="str">
        <f aca="false">IF(I421="","No","Yes")</f>
        <v>Yes</v>
      </c>
      <c r="K421" s="7" t="str">
        <f aca="false">IF(OR(ISERROR(FIND("@",'Raw_Data (Before)'!H421)),ISNUMBER(FIND("@@",'Raw_Data (Before)'!H421)),ISNUMBER(FIND(" ",'Raw_Data (Before)'!H421)),ISERROR(FIND(".",'Raw_Data (Before)'!H421,FIND("@",'Raw_Data (Before)'!H421)))),"No","Yes")</f>
        <v>Yes</v>
      </c>
      <c r="L421" s="7" t="str">
        <f aca="false">IFERROR(INDEX(Lookup_Tables!$H$5:$H$9,MATCH(UPPER(TRIM('Raw_Data (Before)'!I421)),Lookup_Tables!$G$5:$G$9,0)),"UNMAPPED")</f>
        <v>Active</v>
      </c>
      <c r="M421" s="7" t="str">
        <f aca="false">IF(COUNTIF('Raw_Data (Before)'!$A$5:$A$424,A421)&gt;1,"YES","No")</f>
        <v>No</v>
      </c>
      <c r="N421" s="7" t="str">
        <f aca="false">IF(OR(C421="UNMAPPED",D421="UNMAPPED",F421="No",H421="No",J421="No",K421="No",L421="UNMAPPED",M421="YES"),"NEEDS REVIEW","OK")</f>
        <v>OK</v>
      </c>
    </row>
    <row r="422" customFormat="false" ht="15" hidden="false" customHeight="false" outlineLevel="0" collapsed="false">
      <c r="A422" s="7" t="str">
        <f aca="false">'Raw_Data (Before)'!A422</f>
        <v>EMP0015</v>
      </c>
      <c r="B422" s="7" t="str">
        <f aca="false">PROPER(TRIM('Raw_Data (Before)'!B422))</f>
        <v>Grace Sani</v>
      </c>
      <c r="C422" s="7" t="str">
        <f aca="false">IFERROR(INDEX(Lookup_Tables!$B$5:$B$24,MATCH(UPPER(TRIM('Raw_Data (Before)'!C422)),Lookup_Tables!$A$5:$A$24,0)),"UNMAPPED")</f>
        <v>HR</v>
      </c>
      <c r="D422" s="7" t="str">
        <f aca="false">IFERROR(INDEX(Lookup_Tables!$E$5:$E$8,MATCH(UPPER(TRIM('Raw_Data (Before)'!D422)),Lookup_Tables!$D$5:$D$8,0)),"UNMAPPED")</f>
        <v>Male</v>
      </c>
      <c r="E422" s="7" t="n">
        <f aca="false">'Raw_Data (Before)'!E422</f>
        <v>27</v>
      </c>
      <c r="F422" s="7" t="str">
        <f aca="false">IF(E422="","No",IF(OR(E422&lt;16,E422&gt;75),"No","Yes"))</f>
        <v>Yes</v>
      </c>
      <c r="G422" s="7" t="n">
        <f aca="false">IFERROR(VALUE(SUBSTITUTE(SUBSTITUTE('Raw_Data (Before)'!F422,"₦",""),",","")),"")</f>
        <v>317865</v>
      </c>
      <c r="H422" s="7" t="str">
        <f aca="false">IF(G422="","No",IF(OR(G422&lt;=0,G422&gt;5000000),"No","Yes"))</f>
        <v>Yes</v>
      </c>
      <c r="I422" s="8" t="n">
        <f aca="false">IFERROR(DATEVALUE('Raw_Data (Before)'!G422),"")</f>
        <v>44532</v>
      </c>
      <c r="J422" s="7" t="str">
        <f aca="false">IF(I422="","No","Yes")</f>
        <v>Yes</v>
      </c>
      <c r="K422" s="7" t="str">
        <f aca="false">IF(OR(ISERROR(FIND("@",'Raw_Data (Before)'!H422)),ISNUMBER(FIND("@@",'Raw_Data (Before)'!H422)),ISNUMBER(FIND(" ",'Raw_Data (Before)'!H422)),ISERROR(FIND(".",'Raw_Data (Before)'!H422,FIND("@",'Raw_Data (Before)'!H422)))),"No","Yes")</f>
        <v>Yes</v>
      </c>
      <c r="L422" s="7" t="str">
        <f aca="false">IFERROR(INDEX(Lookup_Tables!$H$5:$H$9,MATCH(UPPER(TRIM('Raw_Data (Before)'!I422)),Lookup_Tables!$G$5:$G$9,0)),"UNMAPPED")</f>
        <v>Inactive</v>
      </c>
      <c r="M422" s="7" t="str">
        <f aca="false">IF(COUNTIF('Raw_Data (Before)'!$A$5:$A$424,A422)&gt;1,"YES","No")</f>
        <v>No</v>
      </c>
      <c r="N422" s="7" t="str">
        <f aca="false">IF(OR(C422="UNMAPPED",D422="UNMAPPED",F422="No",H422="No",J422="No",K422="No",L422="UNMAPPED",M422="YES"),"NEEDS REVIEW","OK")</f>
        <v>OK</v>
      </c>
    </row>
    <row r="423" customFormat="false" ht="15" hidden="false" customHeight="false" outlineLevel="0" collapsed="false">
      <c r="A423" s="7" t="str">
        <f aca="false">'Raw_Data (Before)'!A423</f>
        <v>EMP0030</v>
      </c>
      <c r="B423" s="7" t="str">
        <f aca="false">PROPER(TRIM('Raw_Data (Before)'!B423))</f>
        <v>Hauwa Eze</v>
      </c>
      <c r="C423" s="7" t="str">
        <f aca="false">IFERROR(INDEX(Lookup_Tables!$B$5:$B$24,MATCH(UPPER(TRIM('Raw_Data (Before)'!C423)),Lookup_Tables!$A$5:$A$24,0)),"UNMAPPED")</f>
        <v>Marketing</v>
      </c>
      <c r="D423" s="7" t="str">
        <f aca="false">IFERROR(INDEX(Lookup_Tables!$E$5:$E$8,MATCH(UPPER(TRIM('Raw_Data (Before)'!D423)),Lookup_Tables!$D$5:$D$8,0)),"UNMAPPED")</f>
        <v>Male</v>
      </c>
      <c r="E423" s="7" t="n">
        <f aca="false">'Raw_Data (Before)'!E423</f>
        <v>29</v>
      </c>
      <c r="F423" s="7" t="str">
        <f aca="false">IF(E423="","No",IF(OR(E423&lt;16,E423&gt;75),"No","Yes"))</f>
        <v>Yes</v>
      </c>
      <c r="G423" s="7" t="n">
        <f aca="false">IFERROR(VALUE(SUBSTITUTE(SUBSTITUTE('Raw_Data (Before)'!F423,"₦",""),",","")),"")</f>
        <v>-94947</v>
      </c>
      <c r="H423" s="7" t="str">
        <f aca="false">IF(G423="","No",IF(OR(G423&lt;=0,G423&gt;5000000),"No","Yes"))</f>
        <v>No</v>
      </c>
      <c r="I423" s="8" t="n">
        <f aca="false">IFERROR(DATEVALUE('Raw_Data (Before)'!G423),"")</f>
        <v>44758</v>
      </c>
      <c r="J423" s="7" t="str">
        <f aca="false">IF(I423="","No","Yes")</f>
        <v>Yes</v>
      </c>
      <c r="K423" s="7" t="str">
        <f aca="false">IF(OR(ISERROR(FIND("@",'Raw_Data (Before)'!H423)),ISNUMBER(FIND("@@",'Raw_Data (Before)'!H423)),ISNUMBER(FIND(" ",'Raw_Data (Before)'!H423)),ISERROR(FIND(".",'Raw_Data (Before)'!H423,FIND("@",'Raw_Data (Before)'!H423)))),"No","Yes")</f>
        <v>Yes</v>
      </c>
      <c r="L423" s="7" t="str">
        <f aca="false">IFERROR(INDEX(Lookup_Tables!$H$5:$H$9,MATCH(UPPER(TRIM('Raw_Data (Before)'!I423)),Lookup_Tables!$G$5:$G$9,0)),"UNMAPPED")</f>
        <v>Active</v>
      </c>
      <c r="M423" s="7" t="str">
        <f aca="false">IF(COUNTIF('Raw_Data (Before)'!$A$5:$A$424,A423)&gt;1,"YES","No")</f>
        <v>No</v>
      </c>
      <c r="N423" s="7" t="str">
        <f aca="false">IF(OR(C423="UNMAPPED",D423="UNMAPPED",F423="No",H423="No",J423="No",K423="No",L423="UNMAPPED",M423="YES"),"NEEDS REVIEW","OK")</f>
        <v>NEEDS REVIEW</v>
      </c>
    </row>
    <row r="424" customFormat="false" ht="15" hidden="false" customHeight="false" outlineLevel="0" collapsed="false">
      <c r="A424" s="7" t="str">
        <f aca="false">'Raw_Data (Before)'!A424</f>
        <v>EMP0376</v>
      </c>
      <c r="B424" s="7" t="str">
        <f aca="false">PROPER(TRIM('Raw_Data (Before)'!B424))</f>
        <v>Grace Adeyemi</v>
      </c>
      <c r="C424" s="7" t="str">
        <f aca="false">IFERROR(INDEX(Lookup_Tables!$B$5:$B$24,MATCH(UPPER(TRIM('Raw_Data (Before)'!C424)),Lookup_Tables!$A$5:$A$24,0)),"UNMAPPED")</f>
        <v>HR</v>
      </c>
      <c r="D424" s="7" t="str">
        <f aca="false">IFERROR(INDEX(Lookup_Tables!$E$5:$E$8,MATCH(UPPER(TRIM('Raw_Data (Before)'!D424)),Lookup_Tables!$D$5:$D$8,0)),"UNMAPPED")</f>
        <v>Female</v>
      </c>
      <c r="E424" s="7" t="n">
        <f aca="false">'Raw_Data (Before)'!E424</f>
        <v>44</v>
      </c>
      <c r="F424" s="7" t="str">
        <f aca="false">IF(E424="","No",IF(OR(E424&lt;16,E424&gt;75),"No","Yes"))</f>
        <v>Yes</v>
      </c>
      <c r="G424" s="7" t="n">
        <f aca="false">IFERROR(VALUE(SUBSTITUTE(SUBSTITUTE('Raw_Data (Before)'!F424,"₦",""),",","")),"")</f>
        <v>347459</v>
      </c>
      <c r="H424" s="7" t="str">
        <f aca="false">IF(G424="","No",IF(OR(G424&lt;=0,G424&gt;5000000),"No","Yes"))</f>
        <v>Yes</v>
      </c>
      <c r="I424" s="8" t="n">
        <f aca="false">IFERROR(DATEVALUE('Raw_Data (Before)'!G424),"")</f>
        <v>45476</v>
      </c>
      <c r="J424" s="7" t="str">
        <f aca="false">IF(I424="","No","Yes")</f>
        <v>Yes</v>
      </c>
      <c r="K424" s="7" t="str">
        <f aca="false">IF(OR(ISERROR(FIND("@",'Raw_Data (Before)'!H424)),ISNUMBER(FIND("@@",'Raw_Data (Before)'!H424)),ISNUMBER(FIND(" ",'Raw_Data (Before)'!H424)),ISERROR(FIND(".",'Raw_Data (Before)'!H424,FIND("@",'Raw_Data (Before)'!H424)))),"No","Yes")</f>
        <v>Yes</v>
      </c>
      <c r="L424" s="7" t="str">
        <f aca="false">IFERROR(INDEX(Lookup_Tables!$H$5:$H$9,MATCH(UPPER(TRIM('Raw_Data (Before)'!I424)),Lookup_Tables!$G$5:$G$9,0)),"UNMAPPED")</f>
        <v>Active</v>
      </c>
      <c r="M424" s="7" t="str">
        <f aca="false">IF(COUNTIF('Raw_Data (Before)'!$A$5:$A$424,A424)&gt;1,"YES","No")</f>
        <v>No</v>
      </c>
      <c r="N424" s="7" t="str">
        <f aca="false">IF(OR(C424="UNMAPPED",D424="UNMAPPED",F424="No",H424="No",J424="No",K424="No",L424="UNMAPPED",M424="YES"),"NEEDS REVIEW","OK")</f>
        <v>OK</v>
      </c>
    </row>
  </sheetData>
  <conditionalFormatting sqref="F5:F424">
    <cfRule type="cellIs" priority="2" operator="equal" aboveAverage="0" equalAverage="0" bottom="0" percent="0" rank="0" text="" dxfId="0">
      <formula>"No"</formula>
    </cfRule>
  </conditionalFormatting>
  <conditionalFormatting sqref="H5:H424">
    <cfRule type="cellIs" priority="3" operator="equal" aboveAverage="0" equalAverage="0" bottom="0" percent="0" rank="0" text="" dxfId="0">
      <formula>"No"</formula>
    </cfRule>
  </conditionalFormatting>
  <conditionalFormatting sqref="J5:J424">
    <cfRule type="cellIs" priority="4" operator="equal" aboveAverage="0" equalAverage="0" bottom="0" percent="0" rank="0" text="" dxfId="0">
      <formula>"No"</formula>
    </cfRule>
  </conditionalFormatting>
  <conditionalFormatting sqref="K5:K424">
    <cfRule type="cellIs" priority="5" operator="equal" aboveAverage="0" equalAverage="0" bottom="0" percent="0" rank="0" text="" dxfId="0">
      <formula>"No"</formula>
    </cfRule>
  </conditionalFormatting>
  <conditionalFormatting sqref="M5:M424">
    <cfRule type="cellIs" priority="6" operator="equal" aboveAverage="0" equalAverage="0" bottom="0" percent="0" rank="0" text="" dxfId="0">
      <formula>"YES"</formula>
    </cfRule>
  </conditionalFormatting>
  <conditionalFormatting sqref="N5:N424">
    <cfRule type="cellIs" priority="7" operator="equal" aboveAverage="0" equalAverage="0" bottom="0" percent="0" rank="0" text="" dxfId="0">
      <formula>"NEEDS REVIEW"</formula>
    </cfRule>
    <cfRule type="cellIs" priority="8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1607</v>
      </c>
    </row>
    <row r="2" customFormat="false" ht="15" hidden="false" customHeight="false" outlineLevel="0" collapsed="false">
      <c r="A2" s="2" t="s">
        <v>1608</v>
      </c>
    </row>
    <row r="4" customFormat="false" ht="15" hidden="false" customHeight="false" outlineLevel="0" collapsed="false">
      <c r="A4" s="5" t="s">
        <v>1609</v>
      </c>
      <c r="B4" s="5" t="s">
        <v>1610</v>
      </c>
    </row>
    <row r="5" customFormat="false" ht="15" hidden="false" customHeight="false" outlineLevel="0" collapsed="false">
      <c r="A5" s="7" t="s">
        <v>1611</v>
      </c>
      <c r="B5" s="9" t="n">
        <f aca="false">COUNTA('Clean_Data (After)'!A5:A424)</f>
        <v>420</v>
      </c>
    </row>
    <row r="6" customFormat="false" ht="15" hidden="false" customHeight="false" outlineLevel="0" collapsed="false">
      <c r="A6" s="7" t="s">
        <v>1612</v>
      </c>
      <c r="B6" s="9" t="n">
        <f aca="false">COUNTIF('Clean_Data (After)'!N5:N424,"NEEDS REVIEW")</f>
        <v>187</v>
      </c>
    </row>
    <row r="7" customFormat="false" ht="15" hidden="false" customHeight="false" outlineLevel="0" collapsed="false">
      <c r="A7" s="7" t="s">
        <v>1613</v>
      </c>
      <c r="B7" s="9" t="n">
        <f aca="false">COUNTIF('Clean_Data (After)'!N5:N424,"OK")</f>
        <v>233</v>
      </c>
    </row>
    <row r="8" customFormat="false" ht="15" hidden="false" customHeight="false" outlineLevel="0" collapsed="false">
      <c r="A8" s="7" t="s">
        <v>1614</v>
      </c>
      <c r="B8" s="9" t="n">
        <f aca="false">ROUND(COUNTIF('Clean_Data (After)'!N5:N424,"OK")/COUNTA('Clean_Data (After)'!A5:A424)*100,1)</f>
        <v>55.5</v>
      </c>
    </row>
    <row r="9" customFormat="false" ht="15" hidden="false" customHeight="false" outlineLevel="0" collapsed="false">
      <c r="A9" s="7" t="s">
        <v>1615</v>
      </c>
      <c r="B9" s="9" t="n">
        <f aca="false">COUNTIF('Clean_Data (After)'!M5:M424,"YES")</f>
        <v>40</v>
      </c>
    </row>
    <row r="10" customFormat="false" ht="15" hidden="false" customHeight="false" outlineLevel="0" collapsed="false">
      <c r="A10" s="7" t="s">
        <v>1616</v>
      </c>
      <c r="B10" s="9" t="n">
        <f aca="false">COUNTIF('Clean_Data (After)'!F5:F424,"No")</f>
        <v>27</v>
      </c>
    </row>
    <row r="11" customFormat="false" ht="15" hidden="false" customHeight="false" outlineLevel="0" collapsed="false">
      <c r="A11" s="7" t="s">
        <v>1617</v>
      </c>
      <c r="B11" s="9" t="n">
        <f aca="false">COUNTIF('Clean_Data (After)'!H5:H424,"No")</f>
        <v>38</v>
      </c>
    </row>
    <row r="12" customFormat="false" ht="15" hidden="false" customHeight="false" outlineLevel="0" collapsed="false">
      <c r="A12" s="7" t="s">
        <v>1618</v>
      </c>
      <c r="B12" s="9" t="n">
        <f aca="false">COUNTIF('Clean_Data (After)'!J5:J424,"No")</f>
        <v>81</v>
      </c>
    </row>
    <row r="13" customFormat="false" ht="15" hidden="false" customHeight="false" outlineLevel="0" collapsed="false">
      <c r="A13" s="7" t="s">
        <v>1619</v>
      </c>
      <c r="B13" s="9" t="n">
        <f aca="false">COUNTIF('Clean_Data (After)'!K5:K424,"No")</f>
        <v>37</v>
      </c>
    </row>
    <row r="14" customFormat="false" ht="15" hidden="false" customHeight="false" outlineLevel="0" collapsed="false">
      <c r="A14" s="7" t="s">
        <v>1620</v>
      </c>
      <c r="B14" s="9" t="n">
        <f aca="false">COUNTA('Clean_Data (After)'!A5:A424)</f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2026-07-17T00:09:52Z</dcterms:created>
  <dc:creator>openpyxl</dc:creator>
  <dc:description/>
  <dc:language>en-US</dc:language>
  <cp:lastModifiedBy/>
  <dcterms:modified xsi:type="dcterms:W3CDTF">2026-07-17T00:09:52Z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